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ation Ledger" sheetId="1" state="visible" r:id="rId3"/>
    <sheet name="Deduction Calc" sheetId="2" state="visible" r:id="rId4"/>
    <sheet name="Recipient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<sst xmlns="http://schemas.openxmlformats.org/spreadsheetml/2006/main" count="208" uniqueCount="149">
  <si>
    <t xml:space="preserve">DAJSRCE — DONATION &amp; PROFIT-TAX DEDUCTION WORKPAPER</t>
  </si>
  <si>
    <t xml:space="preserve">Prepared under Zakon o porezu na dobit, čl. 7 st. 7 (NN 177/04 as amended)</t>
  </si>
  <si>
    <t xml:space="preserve">Taxpayer:</t>
  </si>
  <si>
    <t xml:space="preserve">Plavi Val d.o.o.</t>
  </si>
  <si>
    <t xml:space="preserve">Pack reference:</t>
  </si>
  <si>
    <t xml:space="preserve">DSRC-TAX-2025-PV-000742</t>
  </si>
  <si>
    <t xml:space="preserve">OIB:</t>
  </si>
  <si>
    <t xml:space="preserve">12345678901</t>
  </si>
  <si>
    <t xml:space="preserve">Prepared:</t>
  </si>
  <si>
    <t xml:space="preserve">15.03.2026  09:42 CET</t>
  </si>
  <si>
    <t xml:space="preserve">Address:</t>
  </si>
  <si>
    <t xml:space="preserve">Ilica 242, 10000 Zagreb, Republika Hrvatska</t>
  </si>
  <si>
    <t xml:space="preserve">Prepared by:</t>
  </si>
  <si>
    <t xml:space="preserve">DajSrce Platform (auto.)</t>
  </si>
  <si>
    <t xml:space="preserve">Period:</t>
  </si>
  <si>
    <t xml:space="preserve">01.01.2025 – 31.12.2025</t>
  </si>
  <si>
    <t xml:space="preserve">Sheet:</t>
  </si>
  <si>
    <t xml:space="preserve">1 of 3</t>
  </si>
  <si>
    <t xml:space="preserve">Date</t>
  </si>
  <si>
    <t xml:space="preserve">Recipient (institution)</t>
  </si>
  <si>
    <t xml:space="preserve">OIB</t>
  </si>
  <si>
    <t xml:space="preserve">Purpose / need</t>
  </si>
  <si>
    <t xml:space="preserve">Category</t>
  </si>
  <si>
    <t xml:space="preserve">Amount (EUR)</t>
  </si>
  <si>
    <t xml:space="preserve">Evidence ref.</t>
  </si>
  <si>
    <t xml:space="preserve">SHA-256 (first 12)</t>
  </si>
  <si>
    <t xml:space="preserve">Status</t>
  </si>
  <si>
    <t xml:space="preserve">2025-01-18</t>
  </si>
  <si>
    <t xml:space="preserve">Caritas Zagrebačke nadbiskupije</t>
  </si>
  <si>
    <t xml:space="preserve">43810491621</t>
  </si>
  <si>
    <t xml:space="preserve">Soup kitchen supplies Q1</t>
  </si>
  <si>
    <t xml:space="preserve">Food</t>
  </si>
  <si>
    <t xml:space="preserve">PLD-2025-0118-01</t>
  </si>
  <si>
    <t xml:space="preserve">9f4c3a8b2e71</t>
  </si>
  <si>
    <t xml:space="preserve">Acknowledged</t>
  </si>
  <si>
    <t xml:space="preserve">2025-02-04</t>
  </si>
  <si>
    <t xml:space="preserve">Hrvatski Crveni križ — Zagreb</t>
  </si>
  <si>
    <t xml:space="preserve">68794821055</t>
  </si>
  <si>
    <t xml:space="preserve">Winter blankets drive</t>
  </si>
  <si>
    <t xml:space="preserve">Goods</t>
  </si>
  <si>
    <t xml:space="preserve">PLD-2025-0204-01</t>
  </si>
  <si>
    <t xml:space="preserve">2a71b4e09d52</t>
  </si>
  <si>
    <t xml:space="preserve">2025-03-11</t>
  </si>
  <si>
    <t xml:space="preserve">Udruga Mali zmaj</t>
  </si>
  <si>
    <t xml:space="preserve">41208637945</t>
  </si>
  <si>
    <t xml:space="preserve">Meal subsidies — school</t>
  </si>
  <si>
    <t xml:space="preserve">PLD-2025-0311-02</t>
  </si>
  <si>
    <t xml:space="preserve">c83e15ab4709</t>
  </si>
  <si>
    <t xml:space="preserve">2025-04-03</t>
  </si>
  <si>
    <t xml:space="preserve">SOS Dječje selo Hrvatska</t>
  </si>
  <si>
    <t xml:space="preserve">97382641058</t>
  </si>
  <si>
    <t xml:space="preserve">Equipment refresh — playroom</t>
  </si>
  <si>
    <t xml:space="preserve">PLD-2025-0403-01</t>
  </si>
  <si>
    <t xml:space="preserve">70fe5c92a118</t>
  </si>
  <si>
    <t xml:space="preserve">2025-05-22</t>
  </si>
  <si>
    <t xml:space="preserve">Pučka kuhinja sv. Ante</t>
  </si>
  <si>
    <t xml:space="preserve">13895204716</t>
  </si>
  <si>
    <t xml:space="preserve">Vegetables and dairy surplus</t>
  </si>
  <si>
    <t xml:space="preserve">PLD-2025-0522-03</t>
  </si>
  <si>
    <t xml:space="preserve">44b10de738ac</t>
  </si>
  <si>
    <t xml:space="preserve">2025-06-09</t>
  </si>
  <si>
    <t xml:space="preserve">Udruga slijepih Zagreb</t>
  </si>
  <si>
    <t xml:space="preserve">50297364810</t>
  </si>
  <si>
    <t xml:space="preserve">Braille printer toner</t>
  </si>
  <si>
    <t xml:space="preserve">PLD-2025-0609-01</t>
  </si>
  <si>
    <t xml:space="preserve">5c91e240b6f3</t>
  </si>
  <si>
    <t xml:space="preserve">2025-07-15</t>
  </si>
  <si>
    <t xml:space="preserve">Summer-camp underwrite</t>
  </si>
  <si>
    <t xml:space="preserve">Services</t>
  </si>
  <si>
    <t xml:space="preserve">PLD-2025-0715-01</t>
  </si>
  <si>
    <t xml:space="preserve">a7d283f10492</t>
  </si>
  <si>
    <t xml:space="preserve">2025-09-02</t>
  </si>
  <si>
    <t xml:space="preserve">Back-to-school supplies</t>
  </si>
  <si>
    <t xml:space="preserve">PLD-2025-0902-02</t>
  </si>
  <si>
    <t xml:space="preserve">dd4917e0b385</t>
  </si>
  <si>
    <t xml:space="preserve">2025-10-10</t>
  </si>
  <si>
    <t xml:space="preserve">Zaklada Hrabri telefon</t>
  </si>
  <si>
    <t xml:space="preserve">39048217655</t>
  </si>
  <si>
    <t xml:space="preserve">Counsellor training grant</t>
  </si>
  <si>
    <t xml:space="preserve">PLD-2025-1010-01</t>
  </si>
  <si>
    <t xml:space="preserve">f02ba19e5647</t>
  </si>
  <si>
    <t xml:space="preserve">2025-11-04</t>
  </si>
  <si>
    <t xml:space="preserve">Flood relief vouchers</t>
  </si>
  <si>
    <t xml:space="preserve">Money</t>
  </si>
  <si>
    <t xml:space="preserve">PLD-2025-1104-02</t>
  </si>
  <si>
    <t xml:space="preserve">1e8705bd4cfa</t>
  </si>
  <si>
    <t xml:space="preserve">2025-12-03</t>
  </si>
  <si>
    <t xml:space="preserve">Holiday meal campaign</t>
  </si>
  <si>
    <t xml:space="preserve">PLD-2025-1203-01</t>
  </si>
  <si>
    <t xml:space="preserve">60a3c81f2710</t>
  </si>
  <si>
    <t xml:space="preserve">2025-12-20</t>
  </si>
  <si>
    <t xml:space="preserve">Year-end gift drive</t>
  </si>
  <si>
    <t xml:space="preserve">PLD-2025-1220-01</t>
  </si>
  <si>
    <t xml:space="preserve">b947f203e158</t>
  </si>
  <si>
    <t xml:space="preserve">TOTAL</t>
  </si>
  <si>
    <t xml:space="preserve">Authorised:</t>
  </si>
  <si>
    <t xml:space="preserve">______________________________________</t>
  </si>
  <si>
    <t xml:space="preserve">Date:</t>
  </si>
  <si>
    <t xml:space="preserve">____________________</t>
  </si>
  <si>
    <t xml:space="preserve">Name &amp; title:</t>
  </si>
  <si>
    <t xml:space="preserve">Ivan Horvat — Management Board Member</t>
  </si>
  <si>
    <t xml:space="preserve">Stamp:</t>
  </si>
  <si>
    <t xml:space="preserve">[ company seal ]</t>
  </si>
  <si>
    <t xml:space="preserve">Attestation: All entries reconcile to pledges acknowledged by the recipient institution. Evidence files are retained in secure storage with SHA-256 integrity hashes.</t>
  </si>
  <si>
    <t xml:space="preserve">PROFIT-TAX DEDUCTION CALCULATION — FY2025</t>
  </si>
  <si>
    <t xml:space="preserve">Zakon o porezu na dobit, čl. 7 st. 7 (NN 177/04 as amended)</t>
  </si>
  <si>
    <t xml:space="preserve">Taxpayer: Plavi Val d.o.o.   |   OIB: 12345678901   |   Pack: DSRC-TAX-2025-PV-000742</t>
  </si>
  <si>
    <t xml:space="preserve">#</t>
  </si>
  <si>
    <t xml:space="preserve">Line item</t>
  </si>
  <si>
    <t xml:space="preserve">Note / reference</t>
  </si>
  <si>
    <t xml:space="preserve">1</t>
  </si>
  <si>
    <t xml:space="preserve">Taxable revenue (prihodi) — FY2025</t>
  </si>
  <si>
    <t xml:space="preserve">Audited financial statements</t>
  </si>
  <si>
    <t xml:space="preserve">2</t>
  </si>
  <si>
    <t xml:space="preserve">Statutory deduction ceiling</t>
  </si>
  <si>
    <t xml:space="preserve">Art. 7(7) — current ceiling</t>
  </si>
  <si>
    <t xml:space="preserve">3</t>
  </si>
  <si>
    <t xml:space="preserve">Maximum deductible amount  (= line 1 × line 2)</t>
  </si>
  <si>
    <t xml:space="preserve">Calculated</t>
  </si>
  <si>
    <t xml:space="preserve">4</t>
  </si>
  <si>
    <t xml:space="preserve">Donations granted during period</t>
  </si>
  <si>
    <t xml:space="preserve">Ledger sheet — TOTAL</t>
  </si>
  <si>
    <t xml:space="preserve">5</t>
  </si>
  <si>
    <t xml:space="preserve">Donations eligible (acknowledged by recipient)</t>
  </si>
  <si>
    <t xml:space="preserve">12 of 12 acknowledged</t>
  </si>
  <si>
    <t xml:space="preserve">6</t>
  </si>
  <si>
    <t xml:space="preserve">Amount claimed as deduction  (= MIN(line 3, line 5))</t>
  </si>
  <si>
    <t xml:space="preserve">Capped at ceiling</t>
  </si>
  <si>
    <t xml:space="preserve">7</t>
  </si>
  <si>
    <t xml:space="preserve">Remaining headroom  (= line 3 − line 6)</t>
  </si>
  <si>
    <t xml:space="preserve">Unused capacity this year</t>
  </si>
  <si>
    <t xml:space="preserve">8</t>
  </si>
  <si>
    <t xml:space="preserve">Corporate profit-tax rate</t>
  </si>
  <si>
    <t xml:space="preserve">18% band (revenue &gt; €1m)</t>
  </si>
  <si>
    <t xml:space="preserve">9</t>
  </si>
  <si>
    <t xml:space="preserve">Tax saving from donation deduction  (= line 6 × line 8)</t>
  </si>
  <si>
    <t xml:space="preserve">Economic benefit</t>
  </si>
  <si>
    <t xml:space="preserve">Notes</t>
  </si>
  <si>
    <t xml:space="preserve">1.  Deduction granted only for donations made to entities qualifying under čl. 7 st. 7 — humanitarian, cultural, scientific, educational, health, social, environmental and sports activities.</t>
  </si>
  <si>
    <t xml:space="preserve">2.  An amendment raising the ceiling from 2% to 4% is before Parliament (prijedlog zakona, 2026-Q1). Under the proposed 4% ceiling the maximum deductible amount would be EUR 194,000; tax saving at 18% would be EUR 34,920.</t>
  </si>
  <si>
    <t xml:space="preserve">3.  Evidence retained: recipient acknowledgement letters, transfer records, and platform audit log with SHA-256 hashes. Available for inspection by the Tax Administration (Porezna uprava).</t>
  </si>
  <si>
    <t xml:space="preserve">4.  All recipient entities verified against the NGO registry at time of pledge; OIB checksum validated (mod 11,10).</t>
  </si>
  <si>
    <t xml:space="preserve">RECIPIENT SUMMARY — FY2025</t>
  </si>
  <si>
    <t xml:space="preserve">Aggregated by institution.  All amounts in EUR.</t>
  </si>
  <si>
    <t xml:space="preserve">Recipient institution</t>
  </si>
  <si>
    <t xml:space="preserve">Pledges</t>
  </si>
  <si>
    <t xml:space="preserve">% of total</t>
  </si>
  <si>
    <t xml:space="preserve">100.0%</t>
  </si>
  <si>
    <t xml:space="preserve">BY CATEGORY (Art. 7(7) tax classification)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</si>
</sst>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%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E4" s="3" t="s">
        <v>4</v>
      </c>
      <c r="F4" s="4" t="s">
        <v>5</v>
      </c>
    </row>
    <row r="5" customFormat="false" ht="15" hidden="false" customHeight="false" outlineLevel="0" collapsed="false">
      <c r="A5" s="3" t="s">
        <v>6</v>
      </c>
      <c r="B5" s="4" t="s">
        <v>7</v>
      </c>
      <c r="E5" s="3" t="s">
        <v>8</v>
      </c>
      <c r="F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  <c r="E6" s="3" t="s">
        <v>12</v>
      </c>
      <c r="F6" s="4" t="s">
        <v>13</v>
      </c>
    </row>
    <row r="7" customFormat="false" ht="15" hidden="false" customHeight="false" outlineLevel="0" collapsed="false">
      <c r="A7" s="3" t="s">
        <v>14</v>
      </c>
      <c r="B7" s="4" t="s">
        <v>15</v>
      </c>
      <c r="E7" s="3" t="s">
        <v>16</v>
      </c>
      <c r="F7" s="4" t="s">
        <v>17</v>
      </c>
    </row>
    <row r="10" customFormat="false" ht="18" hidden="false" customHeight="true" outlineLevel="0" collapsed="false">
      <c r="A10" s="5" t="s">
        <v>18</v>
      </c>
      <c r="B10" s="5" t="s">
        <v>19</v>
      </c>
      <c r="C10" s="5" t="s">
        <v>20</v>
      </c>
      <c r="D10" s="5" t="s">
        <v>21</v>
      </c>
      <c r="E10" s="5" t="s">
        <v>22</v>
      </c>
      <c r="F10" s="5" t="s">
        <v>23</v>
      </c>
      <c r="G10" s="5" t="s">
        <v>24</v>
      </c>
      <c r="H10" s="5" t="s">
        <v>25</v>
      </c>
      <c r="I10" s="5" t="s">
        <v>26</v>
      </c>
    </row>
    <row r="11" customFormat="false" ht="18" hidden="false" customHeight="true" outlineLevel="0" collapsed="false">
      <c r="A11" s="6" t="s">
        <v>27</v>
      </c>
      <c r="B11" s="7" t="s">
        <v>28</v>
      </c>
      <c r="C11" s="6" t="s">
        <v>29</v>
      </c>
      <c r="D11" s="7" t="s">
        <v>30</v>
      </c>
      <c r="E11" s="7" t="s">
        <v>31</v>
      </c>
      <c r="F11" s="8" t="n">
        <v>3500</v>
      </c>
      <c r="G11" s="7" t="s">
        <v>32</v>
      </c>
      <c r="H11" s="7" t="s">
        <v>33</v>
      </c>
      <c r="I11" s="7" t="s">
        <v>34</v>
      </c>
    </row>
    <row r="12" customFormat="false" ht="18" hidden="false" customHeight="true" outlineLevel="0" collapsed="false">
      <c r="A12" s="6" t="s">
        <v>35</v>
      </c>
      <c r="B12" s="7" t="s">
        <v>36</v>
      </c>
      <c r="C12" s="6" t="s">
        <v>37</v>
      </c>
      <c r="D12" s="7" t="s">
        <v>38</v>
      </c>
      <c r="E12" s="7" t="s">
        <v>39</v>
      </c>
      <c r="F12" s="8" t="n">
        <v>2250</v>
      </c>
      <c r="G12" s="7" t="s">
        <v>40</v>
      </c>
      <c r="H12" s="7" t="s">
        <v>41</v>
      </c>
      <c r="I12" s="7" t="s">
        <v>34</v>
      </c>
    </row>
    <row r="13" customFormat="false" ht="18" hidden="false" customHeight="true" outlineLevel="0" collapsed="false">
      <c r="A13" s="6" t="s">
        <v>42</v>
      </c>
      <c r="B13" s="7" t="s">
        <v>43</v>
      </c>
      <c r="C13" s="6" t="s">
        <v>44</v>
      </c>
      <c r="D13" s="7" t="s">
        <v>45</v>
      </c>
      <c r="E13" s="7" t="s">
        <v>31</v>
      </c>
      <c r="F13" s="8" t="n">
        <v>1800</v>
      </c>
      <c r="G13" s="7" t="s">
        <v>46</v>
      </c>
      <c r="H13" s="7" t="s">
        <v>47</v>
      </c>
      <c r="I13" s="7" t="s">
        <v>34</v>
      </c>
    </row>
    <row r="14" customFormat="false" ht="18" hidden="false" customHeight="true" outlineLevel="0" collapsed="false">
      <c r="A14" s="6" t="s">
        <v>48</v>
      </c>
      <c r="B14" s="7" t="s">
        <v>49</v>
      </c>
      <c r="C14" s="6" t="s">
        <v>50</v>
      </c>
      <c r="D14" s="7" t="s">
        <v>51</v>
      </c>
      <c r="E14" s="7" t="s">
        <v>39</v>
      </c>
      <c r="F14" s="8" t="n">
        <v>4100</v>
      </c>
      <c r="G14" s="7" t="s">
        <v>52</v>
      </c>
      <c r="H14" s="7" t="s">
        <v>53</v>
      </c>
      <c r="I14" s="7" t="s">
        <v>34</v>
      </c>
    </row>
    <row r="15" customFormat="false" ht="18" hidden="false" customHeight="true" outlineLevel="0" collapsed="false">
      <c r="A15" s="6" t="s">
        <v>54</v>
      </c>
      <c r="B15" s="7" t="s">
        <v>55</v>
      </c>
      <c r="C15" s="6" t="s">
        <v>56</v>
      </c>
      <c r="D15" s="7" t="s">
        <v>57</v>
      </c>
      <c r="E15" s="7" t="s">
        <v>31</v>
      </c>
      <c r="F15" s="8" t="n">
        <v>2600</v>
      </c>
      <c r="G15" s="7" t="s">
        <v>58</v>
      </c>
      <c r="H15" s="7" t="s">
        <v>59</v>
      </c>
      <c r="I15" s="7" t="s">
        <v>34</v>
      </c>
    </row>
    <row r="16" customFormat="false" ht="18" hidden="false" customHeight="true" outlineLevel="0" collapsed="false">
      <c r="A16" s="6" t="s">
        <v>60</v>
      </c>
      <c r="B16" s="7" t="s">
        <v>61</v>
      </c>
      <c r="C16" s="6" t="s">
        <v>62</v>
      </c>
      <c r="D16" s="7" t="s">
        <v>63</v>
      </c>
      <c r="E16" s="7" t="s">
        <v>39</v>
      </c>
      <c r="F16" s="8" t="n">
        <v>900</v>
      </c>
      <c r="G16" s="7" t="s">
        <v>64</v>
      </c>
      <c r="H16" s="7" t="s">
        <v>65</v>
      </c>
      <c r="I16" s="7" t="s">
        <v>34</v>
      </c>
    </row>
    <row r="17" customFormat="false" ht="18" hidden="false" customHeight="true" outlineLevel="0" collapsed="false">
      <c r="A17" s="6" t="s">
        <v>66</v>
      </c>
      <c r="B17" s="7" t="s">
        <v>28</v>
      </c>
      <c r="C17" s="6" t="s">
        <v>29</v>
      </c>
      <c r="D17" s="7" t="s">
        <v>67</v>
      </c>
      <c r="E17" s="7" t="s">
        <v>68</v>
      </c>
      <c r="F17" s="8" t="n">
        <v>2100</v>
      </c>
      <c r="G17" s="7" t="s">
        <v>69</v>
      </c>
      <c r="H17" s="7" t="s">
        <v>70</v>
      </c>
      <c r="I17" s="7" t="s">
        <v>34</v>
      </c>
    </row>
    <row r="18" customFormat="false" ht="18" hidden="false" customHeight="true" outlineLevel="0" collapsed="false">
      <c r="A18" s="6" t="s">
        <v>71</v>
      </c>
      <c r="B18" s="7" t="s">
        <v>43</v>
      </c>
      <c r="C18" s="6" t="s">
        <v>44</v>
      </c>
      <c r="D18" s="7" t="s">
        <v>72</v>
      </c>
      <c r="E18" s="7" t="s">
        <v>39</v>
      </c>
      <c r="F18" s="8" t="n">
        <v>1450</v>
      </c>
      <c r="G18" s="7" t="s">
        <v>73</v>
      </c>
      <c r="H18" s="7" t="s">
        <v>74</v>
      </c>
      <c r="I18" s="7" t="s">
        <v>34</v>
      </c>
    </row>
    <row r="19" customFormat="false" ht="18" hidden="false" customHeight="true" outlineLevel="0" collapsed="false">
      <c r="A19" s="6" t="s">
        <v>75</v>
      </c>
      <c r="B19" s="7" t="s">
        <v>76</v>
      </c>
      <c r="C19" s="6" t="s">
        <v>77</v>
      </c>
      <c r="D19" s="7" t="s">
        <v>78</v>
      </c>
      <c r="E19" s="7" t="s">
        <v>68</v>
      </c>
      <c r="F19" s="8" t="n">
        <v>3200</v>
      </c>
      <c r="G19" s="7" t="s">
        <v>79</v>
      </c>
      <c r="H19" s="7" t="s">
        <v>80</v>
      </c>
      <c r="I19" s="7" t="s">
        <v>34</v>
      </c>
    </row>
    <row r="20" customFormat="false" ht="18" hidden="false" customHeight="true" outlineLevel="0" collapsed="false">
      <c r="A20" s="6" t="s">
        <v>81</v>
      </c>
      <c r="B20" s="7" t="s">
        <v>36</v>
      </c>
      <c r="C20" s="6" t="s">
        <v>37</v>
      </c>
      <c r="D20" s="7" t="s">
        <v>82</v>
      </c>
      <c r="E20" s="7" t="s">
        <v>83</v>
      </c>
      <c r="F20" s="8" t="n">
        <v>2400</v>
      </c>
      <c r="G20" s="7" t="s">
        <v>84</v>
      </c>
      <c r="H20" s="7" t="s">
        <v>85</v>
      </c>
      <c r="I20" s="7" t="s">
        <v>34</v>
      </c>
    </row>
    <row r="21" customFormat="false" ht="18" hidden="false" customHeight="true" outlineLevel="0" collapsed="false">
      <c r="A21" s="6" t="s">
        <v>86</v>
      </c>
      <c r="B21" s="7" t="s">
        <v>55</v>
      </c>
      <c r="C21" s="6" t="s">
        <v>56</v>
      </c>
      <c r="D21" s="7" t="s">
        <v>87</v>
      </c>
      <c r="E21" s="7" t="s">
        <v>31</v>
      </c>
      <c r="F21" s="8" t="n">
        <v>1400</v>
      </c>
      <c r="G21" s="7" t="s">
        <v>88</v>
      </c>
      <c r="H21" s="7" t="s">
        <v>89</v>
      </c>
      <c r="I21" s="7" t="s">
        <v>34</v>
      </c>
    </row>
    <row r="22" customFormat="false" ht="18" hidden="false" customHeight="true" outlineLevel="0" collapsed="false">
      <c r="A22" s="6" t="s">
        <v>90</v>
      </c>
      <c r="B22" s="7" t="s">
        <v>49</v>
      </c>
      <c r="C22" s="6" t="s">
        <v>50</v>
      </c>
      <c r="D22" s="7" t="s">
        <v>91</v>
      </c>
      <c r="E22" s="7" t="s">
        <v>39</v>
      </c>
      <c r="F22" s="8" t="n">
        <v>800</v>
      </c>
      <c r="G22" s="7" t="s">
        <v>92</v>
      </c>
      <c r="H22" s="7" t="s">
        <v>93</v>
      </c>
      <c r="I22" s="7" t="s">
        <v>34</v>
      </c>
    </row>
    <row r="23" customFormat="false" ht="18" hidden="false" customHeight="true" outlineLevel="0" collapsed="false">
      <c r="A23" s="9" t="s">
        <v>94</v>
      </c>
      <c r="B23" s="10"/>
      <c r="C23" s="10"/>
      <c r="D23" s="10"/>
      <c r="E23" s="10"/>
      <c r="F23" s="11" t="n">
        <f aca="false">SUM(F11:F22)</f>
        <v>26500</v>
      </c>
      <c r="G23" s="10"/>
      <c r="H23" s="10"/>
      <c r="I23" s="10"/>
    </row>
    <row r="26" customFormat="false" ht="15" hidden="false" customHeight="false" outlineLevel="0" collapsed="false">
      <c r="A26" s="3" t="s">
        <v>95</v>
      </c>
      <c r="B26" s="4" t="s">
        <v>96</v>
      </c>
      <c r="F26" s="3" t="s">
        <v>97</v>
      </c>
      <c r="G26" s="4" t="s">
        <v>98</v>
      </c>
    </row>
    <row r="27" customFormat="false" ht="15" hidden="false" customHeight="false" outlineLevel="0" collapsed="false">
      <c r="A27" s="3" t="s">
        <v>99</v>
      </c>
      <c r="B27" s="4" t="s">
        <v>100</v>
      </c>
      <c r="F27" s="3" t="s">
        <v>101</v>
      </c>
      <c r="G27" s="4" t="s">
        <v>102</v>
      </c>
    </row>
    <row r="29" customFormat="false" ht="27.75" hidden="false" customHeight="true" outlineLevel="0" collapsed="false">
      <c r="A29" s="12" t="s">
        <v>103</v>
      </c>
    </row>
  </sheetData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15" hidden="false" customHeight="false" outlineLevel="0" collapsed="false">
      <c r="B1" s="13" t="s">
        <v>104</v>
      </c>
    </row>
    <row r="2" customFormat="false" ht="15" hidden="false" customHeight="false" outlineLevel="0" collapsed="false">
      <c r="B2" s="14" t="s">
        <v>105</v>
      </c>
    </row>
    <row r="4" customFormat="false" ht="15" hidden="false" customHeight="false" outlineLevel="0" collapsed="false">
      <c r="B4" s="14" t="s">
        <v>106</v>
      </c>
    </row>
    <row r="6" customFormat="false" ht="15" hidden="false" customHeight="false" outlineLevel="0" collapsed="false">
      <c r="A6" s="5" t="s">
        <v>107</v>
      </c>
      <c r="B6" s="5" t="s">
        <v>108</v>
      </c>
      <c r="C6" s="5" t="s">
        <v>23</v>
      </c>
      <c r="D6" s="5" t="s">
        <v>109</v>
      </c>
    </row>
    <row r="7" customFormat="false" ht="15" hidden="false" customHeight="false" outlineLevel="0" collapsed="false">
      <c r="A7" s="6" t="s">
        <v>110</v>
      </c>
      <c r="B7" s="15" t="s">
        <v>111</v>
      </c>
      <c r="C7" s="8" t="n">
        <v>4850000</v>
      </c>
      <c r="D7" s="15" t="s">
        <v>112</v>
      </c>
    </row>
    <row r="8" customFormat="false" ht="15" hidden="false" customHeight="false" outlineLevel="0" collapsed="false">
      <c r="A8" s="6" t="s">
        <v>113</v>
      </c>
      <c r="B8" s="15" t="s">
        <v>114</v>
      </c>
      <c r="C8" s="16" t="n">
        <v>0.02</v>
      </c>
      <c r="D8" s="15" t="s">
        <v>115</v>
      </c>
    </row>
    <row r="9" customFormat="false" ht="15" hidden="false" customHeight="false" outlineLevel="0" collapsed="false">
      <c r="A9" s="6" t="s">
        <v>116</v>
      </c>
      <c r="B9" s="15" t="s">
        <v>117</v>
      </c>
      <c r="C9" s="8" t="n">
        <f aca="false">C7*C8</f>
        <v>97000</v>
      </c>
      <c r="D9" s="15" t="s">
        <v>118</v>
      </c>
    </row>
    <row r="10" customFormat="false" ht="15" hidden="false" customHeight="false" outlineLevel="0" collapsed="false">
      <c r="A10" s="6" t="s">
        <v>119</v>
      </c>
      <c r="B10" s="15" t="s">
        <v>120</v>
      </c>
      <c r="C10" s="8" t="n">
        <v>26500</v>
      </c>
      <c r="D10" s="15" t="s">
        <v>121</v>
      </c>
    </row>
    <row r="11" customFormat="false" ht="15" hidden="false" customHeight="false" outlineLevel="0" collapsed="false">
      <c r="A11" s="6" t="s">
        <v>122</v>
      </c>
      <c r="B11" s="15" t="s">
        <v>123</v>
      </c>
      <c r="C11" s="8" t="n">
        <f aca="false">C10</f>
        <v>26500</v>
      </c>
      <c r="D11" s="15" t="s">
        <v>124</v>
      </c>
    </row>
    <row r="12" customFormat="false" ht="15" hidden="false" customHeight="false" outlineLevel="0" collapsed="false">
      <c r="A12" s="5" t="s">
        <v>125</v>
      </c>
      <c r="B12" s="17" t="s">
        <v>126</v>
      </c>
      <c r="C12" s="11" t="n">
        <f aca="false">MIN(C9,C11)</f>
        <v>26500</v>
      </c>
      <c r="D12" s="17" t="s">
        <v>127</v>
      </c>
    </row>
    <row r="13" customFormat="false" ht="15" hidden="false" customHeight="false" outlineLevel="0" collapsed="false">
      <c r="A13" s="6" t="s">
        <v>128</v>
      </c>
      <c r="B13" s="15" t="s">
        <v>129</v>
      </c>
      <c r="C13" s="8" t="n">
        <f aca="false">C9-C12</f>
        <v>70500</v>
      </c>
      <c r="D13" s="15" t="s">
        <v>130</v>
      </c>
    </row>
    <row r="14" customFormat="false" ht="15" hidden="false" customHeight="false" outlineLevel="0" collapsed="false">
      <c r="A14" s="6" t="s">
        <v>131</v>
      </c>
      <c r="B14" s="15" t="s">
        <v>132</v>
      </c>
      <c r="C14" s="16" t="n">
        <v>0.18</v>
      </c>
      <c r="D14" s="15" t="s">
        <v>133</v>
      </c>
    </row>
    <row r="15" customFormat="false" ht="15" hidden="false" customHeight="false" outlineLevel="0" collapsed="false">
      <c r="A15" s="5" t="s">
        <v>134</v>
      </c>
      <c r="B15" s="17" t="s">
        <v>135</v>
      </c>
      <c r="C15" s="11" t="n">
        <f aca="false">C12*C14</f>
        <v>4770</v>
      </c>
      <c r="D15" s="17" t="s">
        <v>136</v>
      </c>
    </row>
    <row r="18" customFormat="false" ht="15" hidden="false" customHeight="false" outlineLevel="0" collapsed="false">
      <c r="B18" s="18" t="s">
        <v>137</v>
      </c>
    </row>
    <row r="20" customFormat="false" ht="30" hidden="false" customHeight="true" outlineLevel="0" collapsed="false">
      <c r="B20" s="12" t="s">
        <v>138</v>
      </c>
    </row>
    <row r="21" customFormat="false" ht="30" hidden="false" customHeight="true" outlineLevel="0" collapsed="false">
      <c r="B21" s="12" t="s">
        <v>139</v>
      </c>
    </row>
    <row r="22" customFormat="false" ht="30" hidden="false" customHeight="true" outlineLevel="0" collapsed="false">
      <c r="B22" s="12" t="s">
        <v>140</v>
      </c>
    </row>
    <row r="23" customFormat="false" ht="30" hidden="false" customHeight="true" outlineLevel="0" collapsed="false">
      <c r="B23" s="12" t="s">
        <v>141</v>
      </c>
    </row>
  </sheetData>
  <printOptions headings="false" gridLines="false" gridLinesSet="true" horizontalCentered="false" verticalCentered="false"/>
  <pageMargins left="0.6" right="0.6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4"/>
  </cols>
  <sheetData>
    <row r="1" customFormat="false" ht="15" hidden="false" customHeight="false" outlineLevel="0" collapsed="false">
      <c r="B1" s="13" t="s">
        <v>142</v>
      </c>
    </row>
    <row r="2" customFormat="false" ht="15" hidden="false" customHeight="false" outlineLevel="0" collapsed="false">
      <c r="B2" s="14" t="s">
        <v>143</v>
      </c>
    </row>
    <row r="4" customFormat="false" ht="15" hidden="false" customHeight="false" outlineLevel="0" collapsed="false">
      <c r="A4" s="5" t="s">
        <v>107</v>
      </c>
      <c r="B4" s="5" t="s">
        <v>144</v>
      </c>
      <c r="C4" s="5" t="s">
        <v>20</v>
      </c>
      <c r="D4" s="5" t="s">
        <v>145</v>
      </c>
      <c r="E4" s="5" t="s">
        <v>23</v>
      </c>
      <c r="F4" s="5" t="s">
        <v>146</v>
      </c>
    </row>
    <row r="5" customFormat="false" ht="15" hidden="false" customHeight="false" outlineLevel="0" collapsed="false">
      <c r="A5" s="6" t="n">
        <v>1</v>
      </c>
      <c r="B5" s="15" t="s">
        <v>28</v>
      </c>
      <c r="C5" s="6" t="s">
        <v>29</v>
      </c>
      <c r="D5" s="19" t="n">
        <v>2</v>
      </c>
      <c r="E5" s="8" t="n">
        <v>5600</v>
      </c>
      <c r="F5" s="20" t="n">
        <f aca="false">E5/E12</f>
        <v>0.211320754716981</v>
      </c>
    </row>
    <row r="6" customFormat="false" ht="15" hidden="false" customHeight="false" outlineLevel="0" collapsed="false">
      <c r="A6" s="6" t="n">
        <v>2</v>
      </c>
      <c r="B6" s="15" t="s">
        <v>36</v>
      </c>
      <c r="C6" s="6" t="s">
        <v>37</v>
      </c>
      <c r="D6" s="19" t="n">
        <v>2</v>
      </c>
      <c r="E6" s="8" t="n">
        <v>4650</v>
      </c>
      <c r="F6" s="20" t="n">
        <f aca="false">E6/E12</f>
        <v>0.175471698113208</v>
      </c>
    </row>
    <row r="7" customFormat="false" ht="15" hidden="false" customHeight="false" outlineLevel="0" collapsed="false">
      <c r="A7" s="6" t="n">
        <v>3</v>
      </c>
      <c r="B7" s="15" t="s">
        <v>43</v>
      </c>
      <c r="C7" s="6" t="s">
        <v>44</v>
      </c>
      <c r="D7" s="19" t="n">
        <v>2</v>
      </c>
      <c r="E7" s="8" t="n">
        <v>3250</v>
      </c>
      <c r="F7" s="20" t="n">
        <f aca="false">E7/E12</f>
        <v>0.122641509433962</v>
      </c>
    </row>
    <row r="8" customFormat="false" ht="15" hidden="false" customHeight="false" outlineLevel="0" collapsed="false">
      <c r="A8" s="6" t="n">
        <v>4</v>
      </c>
      <c r="B8" s="15" t="s">
        <v>49</v>
      </c>
      <c r="C8" s="6" t="s">
        <v>50</v>
      </c>
      <c r="D8" s="19" t="n">
        <v>2</v>
      </c>
      <c r="E8" s="8" t="n">
        <v>4900</v>
      </c>
      <c r="F8" s="20" t="n">
        <f aca="false">E8/E12</f>
        <v>0.184905660377358</v>
      </c>
    </row>
    <row r="9" customFormat="false" ht="15" hidden="false" customHeight="false" outlineLevel="0" collapsed="false">
      <c r="A9" s="6" t="n">
        <v>5</v>
      </c>
      <c r="B9" s="15" t="s">
        <v>55</v>
      </c>
      <c r="C9" s="6" t="s">
        <v>56</v>
      </c>
      <c r="D9" s="19" t="n">
        <v>2</v>
      </c>
      <c r="E9" s="8" t="n">
        <v>4000</v>
      </c>
      <c r="F9" s="20" t="n">
        <f aca="false">E9/E12</f>
        <v>0.150943396226415</v>
      </c>
    </row>
    <row r="10" customFormat="false" ht="15" hidden="false" customHeight="false" outlineLevel="0" collapsed="false">
      <c r="A10" s="6" t="n">
        <v>6</v>
      </c>
      <c r="B10" s="15" t="s">
        <v>61</v>
      </c>
      <c r="C10" s="6" t="s">
        <v>62</v>
      </c>
      <c r="D10" s="19" t="n">
        <v>1</v>
      </c>
      <c r="E10" s="8" t="n">
        <v>900</v>
      </c>
      <c r="F10" s="20" t="n">
        <f aca="false">E10/E12</f>
        <v>0.0339622641509434</v>
      </c>
    </row>
    <row r="11" customFormat="false" ht="15" hidden="false" customHeight="false" outlineLevel="0" collapsed="false">
      <c r="A11" s="6" t="n">
        <v>7</v>
      </c>
      <c r="B11" s="15" t="s">
        <v>76</v>
      </c>
      <c r="C11" s="6" t="s">
        <v>77</v>
      </c>
      <c r="D11" s="19" t="n">
        <v>1</v>
      </c>
      <c r="E11" s="8" t="n">
        <v>3200</v>
      </c>
      <c r="F11" s="20" t="n">
        <f aca="false">E11/E12</f>
        <v>0.120754716981132</v>
      </c>
    </row>
    <row r="12" customFormat="false" ht="15" hidden="false" customHeight="false" outlineLevel="0" collapsed="false">
      <c r="A12" s="21"/>
      <c r="B12" s="9" t="s">
        <v>94</v>
      </c>
      <c r="C12" s="21"/>
      <c r="D12" s="9" t="n">
        <f aca="false">SUM(D5:D11)</f>
        <v>12</v>
      </c>
      <c r="E12" s="11" t="n">
        <f aca="false">SUM(E5:E11)</f>
        <v>26500</v>
      </c>
      <c r="F12" s="9" t="s">
        <v>147</v>
      </c>
    </row>
    <row r="15" customFormat="false" ht="15" hidden="false" customHeight="false" outlineLevel="0" collapsed="false">
      <c r="B15" s="18" t="s">
        <v>148</v>
      </c>
    </row>
    <row r="16" customFormat="false" ht="15" hidden="false" customHeight="false" outlineLevel="0" collapsed="false">
      <c r="A16" s="5" t="s">
        <v>107</v>
      </c>
      <c r="B16" s="5" t="s">
        <v>22</v>
      </c>
      <c r="C16" s="5" t="s">
        <v>145</v>
      </c>
      <c r="D16" s="5" t="s">
        <v>23</v>
      </c>
      <c r="E16" s="5" t="s">
        <v>146</v>
      </c>
    </row>
    <row r="17" customFormat="false" ht="15" hidden="false" customHeight="false" outlineLevel="0" collapsed="false">
      <c r="A17" s="6" t="n">
        <v>1</v>
      </c>
      <c r="B17" s="15" t="s">
        <v>31</v>
      </c>
      <c r="C17" s="19" t="n">
        <v>5</v>
      </c>
      <c r="D17" s="8" t="n">
        <v>11300</v>
      </c>
      <c r="E17" s="20" t="n">
        <f aca="false">D17/D21</f>
        <v>0.396491228070175</v>
      </c>
    </row>
    <row r="18" customFormat="false" ht="15" hidden="false" customHeight="false" outlineLevel="0" collapsed="false">
      <c r="A18" s="6" t="n">
        <v>2</v>
      </c>
      <c r="B18" s="15" t="s">
        <v>39</v>
      </c>
      <c r="C18" s="19" t="n">
        <v>5</v>
      </c>
      <c r="D18" s="8" t="n">
        <v>9500</v>
      </c>
      <c r="E18" s="20" t="n">
        <f aca="false">D18/D21</f>
        <v>0.333333333333333</v>
      </c>
    </row>
    <row r="19" customFormat="false" ht="15" hidden="false" customHeight="false" outlineLevel="0" collapsed="false">
      <c r="A19" s="6" t="n">
        <v>3</v>
      </c>
      <c r="B19" s="15" t="s">
        <v>68</v>
      </c>
      <c r="C19" s="19" t="n">
        <v>2</v>
      </c>
      <c r="D19" s="8" t="n">
        <v>5300</v>
      </c>
      <c r="E19" s="20" t="n">
        <f aca="false">D19/D21</f>
        <v>0.185964912280702</v>
      </c>
    </row>
    <row r="20" customFormat="false" ht="15" hidden="false" customHeight="false" outlineLevel="0" collapsed="false">
      <c r="A20" s="6" t="n">
        <v>4</v>
      </c>
      <c r="B20" s="15" t="s">
        <v>83</v>
      </c>
      <c r="C20" s="19" t="n">
        <v>1</v>
      </c>
      <c r="D20" s="8" t="n">
        <v>2400</v>
      </c>
      <c r="E20" s="20" t="n">
        <f aca="false">D20/D21</f>
        <v>0.0842105263157895</v>
      </c>
    </row>
    <row r="21" customFormat="false" ht="15" hidden="false" customHeight="false" outlineLevel="0" collapsed="false">
      <c r="A21" s="21"/>
      <c r="B21" s="9" t="s">
        <v>94</v>
      </c>
      <c r="C21" s="9" t="n">
        <f aca="false">SUM(C17:C20)</f>
        <v>13</v>
      </c>
      <c r="D21" s="11" t="n">
        <f aca="false">SUM(D17:D20)</f>
        <v>28500</v>
      </c>
      <c r="E21" s="9" t="s">
        <v>147</v>
      </c>
    </row>
  </sheetData>
  <printOptions headings="false" gridLines="false" gridLinesSet="true" horizontalCentered="false" verticalCentered="false"/>
  <pageMargins left="0.6" right="0.6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2026-04-17T15:30:21Z</dcterms:created>
  <dc:creator>openpyxl</dc:creator>
  <dc:description/>
  <dc:language>en-US</dc:language>
  <cp:lastModifiedBy/>
  <dcterms:modified xsi:type="dcterms:W3CDTF">2026-04-17T15:30:21Z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