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Quarter" sheetId="2" state="visible" r:id="rId4"/>
    <sheet name="By Institution" sheetId="3" state="visible" r:id="rId5"/>
    <sheet name="Framework Map" sheetId="4" state="visible" r:id="rId6"/>
  </sheets>
  <definedNames>
    <definedName function="false" hidden="false" localSheetId="2" name="_xlnm.Print_Titles" vbProcedure="false">'By Institution'!$4:$4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<sst xmlns="http://schemas.openxmlformats.org/spreadsheetml/2006/main" count="213" uniqueCount="200">
  <si>
    <t xml:space="preserve">ADRIATIC RETAIL GROUP d.d. — COMMUNITY INVESTMENT REGISTER</t>
  </si>
  <si>
    <t xml:space="preserve">Annual CSR reporting workpaper  |  FY2025  |  All amounts in EUR unless stated.</t>
  </si>
  <si>
    <t xml:space="preserve">Entity:</t>
  </si>
  <si>
    <t xml:space="preserve">Adriatic Retail Group d.d.</t>
  </si>
  <si>
    <t xml:space="preserve">Ticker:</t>
  </si>
  <si>
    <t xml:space="preserve">ADRP-R-A  (ZSE)</t>
  </si>
  <si>
    <t xml:space="preserve">OIB:</t>
  </si>
  <si>
    <t xml:space="preserve">65843921076</t>
  </si>
  <si>
    <t xml:space="preserve">Prepared:</t>
  </si>
  <si>
    <t xml:space="preserve">18.03.2026</t>
  </si>
  <si>
    <t xml:space="preserve">Registered office:</t>
  </si>
  <si>
    <t xml:space="preserve">Heinzelova 70, 10000 Zagreb</t>
  </si>
  <si>
    <t xml:space="preserve">Pack ref:</t>
  </si>
  <si>
    <t xml:space="preserve">DSRC-CSR-2025-ARG-004108</t>
  </si>
  <si>
    <t xml:space="preserve">Headcount (FTE):</t>
  </si>
  <si>
    <t xml:space="preserve">4,243</t>
  </si>
  <si>
    <t xml:space="preserve">Sites:</t>
  </si>
  <si>
    <t xml:space="preserve">284</t>
  </si>
  <si>
    <t xml:space="preserve">Revenue FY2025:</t>
  </si>
  <si>
    <t xml:space="preserve">EUR 812.4 million</t>
  </si>
  <si>
    <t xml:space="preserve">Assurance:</t>
  </si>
  <si>
    <t xml:space="preserve">ISAE 3000 (limited) — EY</t>
  </si>
  <si>
    <t xml:space="preserve">KEY FIGURES</t>
  </si>
  <si>
    <t xml:space="preserve">#</t>
  </si>
  <si>
    <t xml:space="preserve">Metric</t>
  </si>
  <si>
    <t xml:space="preserve">Value (EUR / count)</t>
  </si>
  <si>
    <t xml:space="preserve">Unit</t>
  </si>
  <si>
    <t xml:space="preserve">YoY Δ</t>
  </si>
  <si>
    <t xml:space="preserve">Total community investment</t>
  </si>
  <si>
    <t xml:space="preserve">EUR</t>
  </si>
  <si>
    <t xml:space="preserve">+43.8%</t>
  </si>
  <si>
    <t xml:space="preserve">Cash donations</t>
  </si>
  <si>
    <t xml:space="preserve">+28.4%</t>
  </si>
  <si>
    <t xml:space="preserve">Employer match contribution</t>
  </si>
  <si>
    <t xml:space="preserve">new</t>
  </si>
  <si>
    <t xml:space="preserve">In-kind product donations (surplus food)</t>
  </si>
  <si>
    <t xml:space="preserve">+64.1%</t>
  </si>
  <si>
    <t xml:space="preserve">In-kind product donations (goods)</t>
  </si>
  <si>
    <t xml:space="preserve">+22.9%</t>
  </si>
  <si>
    <t xml:space="preserve">Volunteer hours on company time</t>
  </si>
  <si>
    <t xml:space="preserve">hours</t>
  </si>
  <si>
    <t xml:space="preserve">+339%</t>
  </si>
  <si>
    <t xml:space="preserve">Participating employees</t>
  </si>
  <si>
    <t xml:space="preserve">persons</t>
  </si>
  <si>
    <t xml:space="preserve">+167%</t>
  </si>
  <si>
    <t xml:space="preserve">Workforce participation rate</t>
  </si>
  <si>
    <t xml:space="preserve">%</t>
  </si>
  <si>
    <t xml:space="preserve">+9.1 pp</t>
  </si>
  <si>
    <t xml:space="preserve">Institutions supported</t>
  </si>
  <si>
    <t xml:space="preserve">count</t>
  </si>
  <si>
    <t xml:space="preserve">+8</t>
  </si>
  <si>
    <t xml:space="preserve">Meals enabled (ext. multiplier 2,000/t)</t>
  </si>
  <si>
    <t xml:space="preserve">B4SI CLASSIFICATION (London Benchmarking Group)</t>
  </si>
  <si>
    <t xml:space="preserve">B4SI category</t>
  </si>
  <si>
    <t xml:space="preserve">Amount (EUR)</t>
  </si>
  <si>
    <t xml:space="preserve">Share</t>
  </si>
  <si>
    <t xml:space="preserve">Charitable gift</t>
  </si>
  <si>
    <t xml:space="preserve">Community investment</t>
  </si>
  <si>
    <t xml:space="preserve">Commercial initiative</t>
  </si>
  <si>
    <t xml:space="preserve">In-kind contribution</t>
  </si>
  <si>
    <t xml:space="preserve">TOTAL</t>
  </si>
  <si>
    <t xml:space="preserve">100.0%</t>
  </si>
  <si>
    <t xml:space="preserve">COMMUNITY INVESTMENT BY QUARTER — FY2025</t>
  </si>
  <si>
    <t xml:space="preserve">All amounts in EUR.  Hours in decimal hours.</t>
  </si>
  <si>
    <t xml:space="preserve">Line</t>
  </si>
  <si>
    <t xml:space="preserve">Q1</t>
  </si>
  <si>
    <t xml:space="preserve">Q2</t>
  </si>
  <si>
    <t xml:space="preserve">Q3</t>
  </si>
  <si>
    <t xml:space="preserve">Q4</t>
  </si>
  <si>
    <t xml:space="preserve">FY Total</t>
  </si>
  <si>
    <t xml:space="preserve">Cash donations (EUR)</t>
  </si>
  <si>
    <t xml:space="preserve">Employer match (EUR)</t>
  </si>
  <si>
    <t xml:space="preserve">Surplus food — in kind (EUR)</t>
  </si>
  <si>
    <t xml:space="preserve">Other in-kind goods (EUR)</t>
  </si>
  <si>
    <t xml:space="preserve">Commercial initiatives (EUR)</t>
  </si>
  <si>
    <t xml:space="preserve">Volunteer hours (h)</t>
  </si>
  <si>
    <t xml:space="preserve">Participating employees (persons)</t>
  </si>
  <si>
    <t xml:space="preserve">COMMUNITY INVESTMENT — EUR total</t>
  </si>
  <si>
    <t xml:space="preserve">Note: participating-employee counts are cumulative through quarter; FY total in column G is de-duplicated (620 persons).</t>
  </si>
  <si>
    <t xml:space="preserve">COMMUNITY INVESTMENT BY RECIPIENT INSTITUTION — FY2025</t>
  </si>
  <si>
    <t xml:space="preserve">All amounts in EUR.  Hours in h.  OIB per Croatian register.</t>
  </si>
  <si>
    <t xml:space="preserve">Recipient institution</t>
  </si>
  <si>
    <t xml:space="preserve">OIB</t>
  </si>
  <si>
    <t xml:space="preserve">Cash</t>
  </si>
  <si>
    <t xml:space="preserve">Match</t>
  </si>
  <si>
    <t xml:space="preserve">In kind</t>
  </si>
  <si>
    <t xml:space="preserve">Hours</t>
  </si>
  <si>
    <t xml:space="preserve">Total</t>
  </si>
  <si>
    <t xml:space="preserve">Pučka kuhinja sv. Ante</t>
  </si>
  <si>
    <t xml:space="preserve">13895204716</t>
  </si>
  <si>
    <t xml:space="preserve">Caritas Zagrebačke nadbiskupije</t>
  </si>
  <si>
    <t xml:space="preserve">43810491621</t>
  </si>
  <si>
    <t xml:space="preserve">Hrvatski Crveni križ — Zagreb</t>
  </si>
  <si>
    <t xml:space="preserve">68794821055</t>
  </si>
  <si>
    <t xml:space="preserve">Zaklada Hrabri telefon</t>
  </si>
  <si>
    <t xml:space="preserve">39048217655</t>
  </si>
  <si>
    <t xml:space="preserve">SOS Dječje selo Hrvatska</t>
  </si>
  <si>
    <t xml:space="preserve">97382641058</t>
  </si>
  <si>
    <t xml:space="preserve">Udruga Mali zmaj</t>
  </si>
  <si>
    <t xml:space="preserve">41208637945</t>
  </si>
  <si>
    <t xml:space="preserve">Centar za socijalnu politiku</t>
  </si>
  <si>
    <t xml:space="preserve">50827431096</t>
  </si>
  <si>
    <t xml:space="preserve">Udruga slijepih Zagreb</t>
  </si>
  <si>
    <t xml:space="preserve">50297364810</t>
  </si>
  <si>
    <t xml:space="preserve">Dom umirovljenika Trnje</t>
  </si>
  <si>
    <t xml:space="preserve">27184065931</t>
  </si>
  <si>
    <t xml:space="preserve">Udruga Sunce</t>
  </si>
  <si>
    <t xml:space="preserve">76823451208</t>
  </si>
  <si>
    <t xml:space="preserve">Klub Split za djecu bez roditelja</t>
  </si>
  <si>
    <t xml:space="preserve">68214503927</t>
  </si>
  <si>
    <t xml:space="preserve">Prehrana bez granica</t>
  </si>
  <si>
    <t xml:space="preserve">13049582760</t>
  </si>
  <si>
    <t xml:space="preserve">Volonterski centar Osijek</t>
  </si>
  <si>
    <t xml:space="preserve">41930582714</t>
  </si>
  <si>
    <t xml:space="preserve">Zaklada Zajednički put</t>
  </si>
  <si>
    <t xml:space="preserve">59127403861</t>
  </si>
  <si>
    <t xml:space="preserve">Udruga Korak dalje</t>
  </si>
  <si>
    <t xml:space="preserve">82173640591</t>
  </si>
  <si>
    <t xml:space="preserve">Info-centar Zagreb</t>
  </si>
  <si>
    <t xml:space="preserve">48210395786</t>
  </si>
  <si>
    <t xml:space="preserve">Udruga za pomoć beskućnicima</t>
  </si>
  <si>
    <t xml:space="preserve">39047162058</t>
  </si>
  <si>
    <t xml:space="preserve">Centar za mladež Vukovar</t>
  </si>
  <si>
    <t xml:space="preserve">70182463915</t>
  </si>
  <si>
    <t xml:space="preserve">Udruga Kap dobrote</t>
  </si>
  <si>
    <t xml:space="preserve">58194320671</t>
  </si>
  <si>
    <t xml:space="preserve">Dječji vrtić — posebna potpora</t>
  </si>
  <si>
    <t xml:space="preserve">62039158472</t>
  </si>
  <si>
    <t xml:space="preserve">Caritas Rijeka</t>
  </si>
  <si>
    <t xml:space="preserve">37915082614</t>
  </si>
  <si>
    <t xml:space="preserve">Caritas Split</t>
  </si>
  <si>
    <t xml:space="preserve">62830194573</t>
  </si>
  <si>
    <t xml:space="preserve">Osječki volonterski centar</t>
  </si>
  <si>
    <t xml:space="preserve">71205389460</t>
  </si>
  <si>
    <t xml:space="preserve">Udruga roditelja djece oboljele</t>
  </si>
  <si>
    <t xml:space="preserve">92017538401</t>
  </si>
  <si>
    <t xml:space="preserve">Zajednica udruga Zagorje</t>
  </si>
  <si>
    <t xml:space="preserve">18294057368</t>
  </si>
  <si>
    <t xml:space="preserve">Pomoć u kući Slavonija</t>
  </si>
  <si>
    <t xml:space="preserve">40195827310</t>
  </si>
  <si>
    <t xml:space="preserve">Udruga Svjetlost</t>
  </si>
  <si>
    <t xml:space="preserve">56218394065</t>
  </si>
  <si>
    <t xml:space="preserve">Građanska inicijativa Dobro došli</t>
  </si>
  <si>
    <t xml:space="preserve">63104258097</t>
  </si>
  <si>
    <t xml:space="preserve">FRAMEWORK MAPPING — KEY DATAPOINTS</t>
  </si>
  <si>
    <t xml:space="preserve">Cross-reference table linking this register to mainstream reporting frameworks.</t>
  </si>
  <si>
    <t xml:space="preserve">Framework / disclosure</t>
  </si>
  <si>
    <t xml:space="preserve">Line covered</t>
  </si>
  <si>
    <t xml:space="preserve">Value reported</t>
  </si>
  <si>
    <t xml:space="preserve">ESRS S1-13</t>
  </si>
  <si>
    <t xml:space="preserve">Employee training hours on community activities</t>
  </si>
  <si>
    <t xml:space="preserve">9,837 hours</t>
  </si>
  <si>
    <t xml:space="preserve">ESRS S3-1</t>
  </si>
  <si>
    <t xml:space="preserve">Material impacts on affected communities — positive</t>
  </si>
  <si>
    <t xml:space="preserve">Described, p.3</t>
  </si>
  <si>
    <t xml:space="preserve">ESRS S3-4</t>
  </si>
  <si>
    <t xml:space="preserve">Actions on affected communities</t>
  </si>
  <si>
    <t xml:space="preserve">EUR 682,014</t>
  </si>
  <si>
    <t xml:space="preserve">ESRS S3-5</t>
  </si>
  <si>
    <t xml:space="preserve">Targets for community impact</t>
  </si>
  <si>
    <t xml:space="preserve">EUR 1.0m by 2027</t>
  </si>
  <si>
    <t xml:space="preserve">GRI 413-1</t>
  </si>
  <si>
    <t xml:space="preserve">Operations with community engagement programmes</t>
  </si>
  <si>
    <t xml:space="preserve">100% of 284 sites</t>
  </si>
  <si>
    <t xml:space="preserve">GRI 413-2</t>
  </si>
  <si>
    <t xml:space="preserve">Operations with significant negative impacts</t>
  </si>
  <si>
    <t xml:space="preserve">None identified</t>
  </si>
  <si>
    <t xml:space="preserve">B4SI Inputs</t>
  </si>
  <si>
    <t xml:space="preserve">Cash + in-kind + time at commercial cost</t>
  </si>
  <si>
    <t xml:space="preserve">B4SI Outputs</t>
  </si>
  <si>
    <t xml:space="preserve">Direct beneficiaries / meals enabled</t>
  </si>
  <si>
    <t xml:space="preserve">216,428 meals</t>
  </si>
  <si>
    <t xml:space="preserve">B4SI Impacts</t>
  </si>
  <si>
    <t xml:space="preserve">Leverage ratio (€ raised per € given)</t>
  </si>
  <si>
    <t xml:space="preserve">2.4x</t>
  </si>
  <si>
    <t xml:space="preserve">UN SDG 1</t>
  </si>
  <si>
    <t xml:space="preserve">End poverty</t>
  </si>
  <si>
    <t xml:space="preserve">EUR 186,214</t>
  </si>
  <si>
    <t xml:space="preserve">UN SDG 2</t>
  </si>
  <si>
    <t xml:space="preserve">Zero hunger</t>
  </si>
  <si>
    <t xml:space="preserve">EUR 238,014</t>
  </si>
  <si>
    <t xml:space="preserve">UN SDG 3</t>
  </si>
  <si>
    <t xml:space="preserve">Good health and well-being</t>
  </si>
  <si>
    <t xml:space="preserve">EUR 94,200</t>
  </si>
  <si>
    <t xml:space="preserve">UN SDG 4</t>
  </si>
  <si>
    <t xml:space="preserve">Quality education</t>
  </si>
  <si>
    <t xml:space="preserve">UN SDG 10</t>
  </si>
  <si>
    <t xml:space="preserve">Reduced inequalities</t>
  </si>
  <si>
    <t xml:space="preserve">EUR 42,400</t>
  </si>
  <si>
    <t xml:space="preserve">UN SDG 17</t>
  </si>
  <si>
    <t xml:space="preserve">Partnerships for the goals</t>
  </si>
  <si>
    <t xml:space="preserve">28 institutions</t>
  </si>
  <si>
    <t xml:space="preserve">ISO 26000</t>
  </si>
  <si>
    <t xml:space="preserve">Core subject: Community involvement &amp; development</t>
  </si>
  <si>
    <t xml:space="preserve">All seven issues addressed</t>
  </si>
  <si>
    <t xml:space="preserve">GOVERNANCE &amp; SIGN-OFF</t>
  </si>
  <si>
    <t xml:space="preserve">Approved by Management Board — 18.03.2026</t>
  </si>
  <si>
    <t xml:space="preserve">Reviewed by Audit &amp; Risk Committee — 15.03.2026</t>
  </si>
  <si>
    <t xml:space="preserve">External assurance — EY, ISAE 3000 (limited) — report issued 17.03.2026</t>
  </si>
  <si>
    <t xml:space="preserve">Source systems: SAP FI-CO (donations), DajSrce Platform (volunteering audit log).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</si>
</sst>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4" t="s">
        <v>5</v>
      </c>
    </row>
    <row r="5" customFormat="false" ht="15" hidden="false" customHeight="false" outlineLevel="0" collapsed="false">
      <c r="B5" s="3" t="s">
        <v>6</v>
      </c>
      <c r="C5" s="4" t="s">
        <v>7</v>
      </c>
      <c r="D5" s="3" t="s">
        <v>8</v>
      </c>
      <c r="E5" s="4" t="s">
        <v>9</v>
      </c>
    </row>
    <row r="6" customFormat="false" ht="15" hidden="false" customHeight="false" outlineLevel="0" collapsed="false">
      <c r="B6" s="3" t="s">
        <v>10</v>
      </c>
      <c r="C6" s="4" t="s">
        <v>11</v>
      </c>
      <c r="D6" s="3" t="s">
        <v>12</v>
      </c>
      <c r="E6" s="4" t="s">
        <v>13</v>
      </c>
    </row>
    <row r="7" customFormat="false" ht="15" hidden="false" customHeight="false" outlineLevel="0" collapsed="false">
      <c r="B7" s="3" t="s">
        <v>14</v>
      </c>
      <c r="C7" s="4" t="s">
        <v>15</v>
      </c>
      <c r="D7" s="3" t="s">
        <v>16</v>
      </c>
      <c r="E7" s="4" t="s">
        <v>17</v>
      </c>
    </row>
    <row r="8" customFormat="false" ht="15" hidden="false" customHeight="false" outlineLevel="0" collapsed="false">
      <c r="B8" s="3" t="s">
        <v>18</v>
      </c>
      <c r="C8" s="4" t="s">
        <v>19</v>
      </c>
      <c r="D8" s="3" t="s">
        <v>20</v>
      </c>
      <c r="E8" s="4" t="s">
        <v>21</v>
      </c>
    </row>
    <row r="10" customFormat="false" ht="15" hidden="false" customHeight="false" outlineLevel="0" collapsed="false">
      <c r="B10" s="5" t="s">
        <v>22</v>
      </c>
    </row>
    <row r="11" customFormat="false" ht="15" hidden="false" customHeight="false" outlineLevel="0" collapsed="false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</row>
    <row r="12" customFormat="false" ht="15" hidden="false" customHeight="false" outlineLevel="0" collapsed="false">
      <c r="A12" s="7" t="n">
        <v>1</v>
      </c>
      <c r="B12" s="8" t="s">
        <v>28</v>
      </c>
      <c r="C12" s="9" t="n">
        <v>682014</v>
      </c>
      <c r="D12" s="7" t="s">
        <v>29</v>
      </c>
      <c r="E12" s="10" t="s">
        <v>30</v>
      </c>
    </row>
    <row r="13" customFormat="false" ht="15" hidden="false" customHeight="false" outlineLevel="0" collapsed="false">
      <c r="A13" s="7" t="n">
        <v>2</v>
      </c>
      <c r="B13" s="8" t="s">
        <v>31</v>
      </c>
      <c r="C13" s="9" t="n">
        <v>283600</v>
      </c>
      <c r="D13" s="7" t="s">
        <v>29</v>
      </c>
      <c r="E13" s="10" t="s">
        <v>32</v>
      </c>
    </row>
    <row r="14" customFormat="false" ht="15" hidden="false" customHeight="false" outlineLevel="0" collapsed="false">
      <c r="A14" s="7" t="n">
        <v>3</v>
      </c>
      <c r="B14" s="8" t="s">
        <v>33</v>
      </c>
      <c r="C14" s="9" t="n">
        <v>160000</v>
      </c>
      <c r="D14" s="7" t="s">
        <v>29</v>
      </c>
      <c r="E14" s="10" t="s">
        <v>34</v>
      </c>
    </row>
    <row r="15" customFormat="false" ht="15" hidden="false" customHeight="false" outlineLevel="0" collapsed="false">
      <c r="A15" s="7" t="n">
        <v>4</v>
      </c>
      <c r="B15" s="8" t="s">
        <v>35</v>
      </c>
      <c r="C15" s="9" t="n">
        <v>108214</v>
      </c>
      <c r="D15" s="7" t="s">
        <v>29</v>
      </c>
      <c r="E15" s="10" t="s">
        <v>36</v>
      </c>
    </row>
    <row r="16" customFormat="false" ht="15" hidden="false" customHeight="false" outlineLevel="0" collapsed="false">
      <c r="A16" s="7" t="n">
        <v>5</v>
      </c>
      <c r="B16" s="8" t="s">
        <v>37</v>
      </c>
      <c r="C16" s="9" t="n">
        <v>130200</v>
      </c>
      <c r="D16" s="7" t="s">
        <v>29</v>
      </c>
      <c r="E16" s="10" t="s">
        <v>38</v>
      </c>
    </row>
    <row r="17" customFormat="false" ht="15" hidden="false" customHeight="false" outlineLevel="0" collapsed="false">
      <c r="A17" s="7" t="n">
        <v>6</v>
      </c>
      <c r="B17" s="8" t="s">
        <v>39</v>
      </c>
      <c r="C17" s="9" t="n">
        <v>9837</v>
      </c>
      <c r="D17" s="7" t="s">
        <v>40</v>
      </c>
      <c r="E17" s="10" t="s">
        <v>41</v>
      </c>
    </row>
    <row r="18" customFormat="false" ht="15" hidden="false" customHeight="false" outlineLevel="0" collapsed="false">
      <c r="A18" s="7" t="n">
        <v>7</v>
      </c>
      <c r="B18" s="8" t="s">
        <v>42</v>
      </c>
      <c r="C18" s="9" t="n">
        <v>620</v>
      </c>
      <c r="D18" s="7" t="s">
        <v>43</v>
      </c>
      <c r="E18" s="10" t="s">
        <v>44</v>
      </c>
    </row>
    <row r="19" customFormat="false" ht="15" hidden="false" customHeight="false" outlineLevel="0" collapsed="false">
      <c r="A19" s="7" t="n">
        <v>8</v>
      </c>
      <c r="B19" s="8" t="s">
        <v>45</v>
      </c>
      <c r="C19" s="11" t="n">
        <v>0.146</v>
      </c>
      <c r="D19" s="7" t="s">
        <v>46</v>
      </c>
      <c r="E19" s="10" t="s">
        <v>47</v>
      </c>
    </row>
    <row r="20" customFormat="false" ht="15" hidden="false" customHeight="false" outlineLevel="0" collapsed="false">
      <c r="A20" s="7" t="n">
        <v>9</v>
      </c>
      <c r="B20" s="8" t="s">
        <v>48</v>
      </c>
      <c r="C20" s="9" t="n">
        <v>28</v>
      </c>
      <c r="D20" s="7" t="s">
        <v>49</v>
      </c>
      <c r="E20" s="10" t="s">
        <v>50</v>
      </c>
    </row>
    <row r="21" customFormat="false" ht="15" hidden="false" customHeight="false" outlineLevel="0" collapsed="false">
      <c r="A21" s="7" t="n">
        <v>10</v>
      </c>
      <c r="B21" s="8" t="s">
        <v>51</v>
      </c>
      <c r="C21" s="9" t="n">
        <v>216428</v>
      </c>
      <c r="D21" s="7" t="s">
        <v>49</v>
      </c>
      <c r="E21" s="10" t="s">
        <v>36</v>
      </c>
    </row>
    <row r="24" customFormat="false" ht="15" hidden="false" customHeight="false" outlineLevel="0" collapsed="false">
      <c r="B24" s="5" t="s">
        <v>52</v>
      </c>
    </row>
    <row r="25" customFormat="false" ht="15" hidden="false" customHeight="false" outlineLevel="0" collapsed="false">
      <c r="A25" s="6" t="s">
        <v>23</v>
      </c>
      <c r="B25" s="6" t="s">
        <v>53</v>
      </c>
      <c r="C25" s="6" t="s">
        <v>54</v>
      </c>
      <c r="D25" s="6" t="s">
        <v>55</v>
      </c>
      <c r="E25" s="6"/>
    </row>
    <row r="26" customFormat="false" ht="15" hidden="false" customHeight="false" outlineLevel="0" collapsed="false">
      <c r="A26" s="7" t="n">
        <v>1</v>
      </c>
      <c r="B26" s="8" t="s">
        <v>56</v>
      </c>
      <c r="C26" s="9" t="n">
        <v>283600</v>
      </c>
      <c r="D26" s="11" t="n">
        <f aca="false">C26/C30</f>
        <v>0.415827241083028</v>
      </c>
      <c r="E26" s="8"/>
    </row>
    <row r="27" customFormat="false" ht="15" hidden="false" customHeight="false" outlineLevel="0" collapsed="false">
      <c r="A27" s="7" t="n">
        <v>2</v>
      </c>
      <c r="B27" s="8" t="s">
        <v>57</v>
      </c>
      <c r="C27" s="9" t="n">
        <v>304000</v>
      </c>
      <c r="D27" s="11" t="n">
        <f aca="false">C27/C30</f>
        <v>0.445738650526236</v>
      </c>
      <c r="E27" s="8"/>
    </row>
    <row r="28" customFormat="false" ht="15" hidden="false" customHeight="false" outlineLevel="0" collapsed="false">
      <c r="A28" s="7" t="n">
        <v>3</v>
      </c>
      <c r="B28" s="8" t="s">
        <v>58</v>
      </c>
      <c r="C28" s="9" t="n">
        <v>62000</v>
      </c>
      <c r="D28" s="11" t="n">
        <f aca="false">C28/C30</f>
        <v>0.090907224778377</v>
      </c>
      <c r="E28" s="8"/>
    </row>
    <row r="29" customFormat="false" ht="15" hidden="false" customHeight="false" outlineLevel="0" collapsed="false">
      <c r="A29" s="7" t="n">
        <v>4</v>
      </c>
      <c r="B29" s="8" t="s">
        <v>59</v>
      </c>
      <c r="C29" s="9" t="n">
        <v>32414</v>
      </c>
      <c r="D29" s="11" t="n">
        <f aca="false">C29/C30</f>
        <v>0.0475268836123599</v>
      </c>
      <c r="E29" s="8"/>
    </row>
    <row r="30" customFormat="false" ht="15" hidden="false" customHeight="false" outlineLevel="0" collapsed="false">
      <c r="A30" s="12"/>
      <c r="B30" s="13" t="s">
        <v>60</v>
      </c>
      <c r="C30" s="14" t="n">
        <f aca="false">SUM(C26:C29)</f>
        <v>682014</v>
      </c>
      <c r="D30" s="13" t="s">
        <v>61</v>
      </c>
      <c r="E30" s="12"/>
    </row>
  </sheetData>
  <printOptions headings="false" gridLines="false" gridLinesSet="true" horizontalCentered="false" verticalCentered="false"/>
  <pageMargins left="0.5" right="0.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B1" s="1" t="s">
        <v>62</v>
      </c>
    </row>
    <row r="2" customFormat="false" ht="15" hidden="false" customHeight="false" outlineLevel="0" collapsed="false">
      <c r="B2" s="2" t="s">
        <v>63</v>
      </c>
    </row>
    <row r="4" customFormat="false" ht="15" hidden="false" customHeight="false" outlineLevel="0" collapsed="false">
      <c r="A4" s="6" t="s">
        <v>23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7" t="n">
        <v>1</v>
      </c>
      <c r="B5" s="8" t="s">
        <v>70</v>
      </c>
      <c r="C5" s="9" t="n">
        <v>62400</v>
      </c>
      <c r="D5" s="9" t="n">
        <v>71200</v>
      </c>
      <c r="E5" s="9" t="n">
        <v>68000</v>
      </c>
      <c r="F5" s="9" t="n">
        <v>82000</v>
      </c>
      <c r="G5" s="15" t="n">
        <f aca="false">SUM(C5:F5)</f>
        <v>283600</v>
      </c>
    </row>
    <row r="6" customFormat="false" ht="15" hidden="false" customHeight="false" outlineLevel="0" collapsed="false">
      <c r="A6" s="7" t="n">
        <v>2</v>
      </c>
      <c r="B6" s="8" t="s">
        <v>71</v>
      </c>
      <c r="C6" s="9" t="n">
        <v>32000</v>
      </c>
      <c r="D6" s="9" t="n">
        <v>38400</v>
      </c>
      <c r="E6" s="9" t="n">
        <v>42000</v>
      </c>
      <c r="F6" s="9" t="n">
        <v>47600</v>
      </c>
      <c r="G6" s="15" t="n">
        <f aca="false">SUM(C6:F6)</f>
        <v>160000</v>
      </c>
    </row>
    <row r="7" customFormat="false" ht="15" hidden="false" customHeight="false" outlineLevel="0" collapsed="false">
      <c r="A7" s="7" t="n">
        <v>3</v>
      </c>
      <c r="B7" s="8" t="s">
        <v>72</v>
      </c>
      <c r="C7" s="9" t="n">
        <v>18400</v>
      </c>
      <c r="D7" s="9" t="n">
        <v>26200</v>
      </c>
      <c r="E7" s="9" t="n">
        <v>28800</v>
      </c>
      <c r="F7" s="9" t="n">
        <v>34814</v>
      </c>
      <c r="G7" s="15" t="n">
        <f aca="false">SUM(C7:F7)</f>
        <v>108214</v>
      </c>
    </row>
    <row r="8" customFormat="false" ht="15" hidden="false" customHeight="false" outlineLevel="0" collapsed="false">
      <c r="A8" s="7" t="n">
        <v>4</v>
      </c>
      <c r="B8" s="8" t="s">
        <v>73</v>
      </c>
      <c r="C8" s="9" t="n">
        <v>24000</v>
      </c>
      <c r="D8" s="9" t="n">
        <v>31200</v>
      </c>
      <c r="E8" s="9" t="n">
        <v>35000</v>
      </c>
      <c r="F8" s="9" t="n">
        <v>40000</v>
      </c>
      <c r="G8" s="15" t="n">
        <f aca="false">SUM(C8:F8)</f>
        <v>130200</v>
      </c>
    </row>
    <row r="9" customFormat="false" ht="15" hidden="false" customHeight="false" outlineLevel="0" collapsed="false">
      <c r="A9" s="7" t="n">
        <v>5</v>
      </c>
      <c r="B9" s="8" t="s">
        <v>74</v>
      </c>
      <c r="C9" s="9" t="n">
        <v>8000</v>
      </c>
      <c r="D9" s="9" t="n">
        <v>16400</v>
      </c>
      <c r="E9" s="9" t="n">
        <v>18200</v>
      </c>
      <c r="F9" s="9" t="n">
        <v>19400</v>
      </c>
      <c r="G9" s="15" t="n">
        <f aca="false">SUM(C9:F9)</f>
        <v>62000</v>
      </c>
    </row>
    <row r="10" customFormat="false" ht="15" hidden="false" customHeight="false" outlineLevel="0" collapsed="false">
      <c r="A10" s="7" t="n">
        <v>6</v>
      </c>
      <c r="B10" s="8" t="s">
        <v>75</v>
      </c>
      <c r="C10" s="9" t="n">
        <v>1612</v>
      </c>
      <c r="D10" s="9" t="n">
        <v>2248</v>
      </c>
      <c r="E10" s="9" t="n">
        <v>2692</v>
      </c>
      <c r="F10" s="9" t="n">
        <v>3285</v>
      </c>
      <c r="G10" s="15" t="n">
        <f aca="false">SUM(C10:F10)</f>
        <v>9837</v>
      </c>
    </row>
    <row r="11" customFormat="false" ht="15" hidden="false" customHeight="false" outlineLevel="0" collapsed="false">
      <c r="A11" s="7" t="n">
        <v>7</v>
      </c>
      <c r="B11" s="8" t="s">
        <v>76</v>
      </c>
      <c r="C11" s="9" t="n">
        <v>140</v>
      </c>
      <c r="D11" s="9" t="n">
        <v>218</v>
      </c>
      <c r="E11" s="9" t="n">
        <v>298</v>
      </c>
      <c r="F11" s="9" t="n">
        <v>382</v>
      </c>
      <c r="G11" s="15" t="n">
        <f aca="false">SUM(C11:F11)</f>
        <v>1038</v>
      </c>
    </row>
    <row r="13" customFormat="false" ht="15" hidden="false" customHeight="false" outlineLevel="0" collapsed="false">
      <c r="A13" s="12"/>
      <c r="B13" s="13" t="s">
        <v>77</v>
      </c>
      <c r="C13" s="14" t="n">
        <f aca="false">SUM(C5:C9)</f>
        <v>144800</v>
      </c>
      <c r="D13" s="14" t="n">
        <f aca="false">SUM(D5:D9)</f>
        <v>183400</v>
      </c>
      <c r="E13" s="14" t="n">
        <f aca="false">SUM(E5:E9)</f>
        <v>192000</v>
      </c>
      <c r="F13" s="14" t="n">
        <f aca="false">SUM(F5:F9)</f>
        <v>223814</v>
      </c>
      <c r="G13" s="14" t="n">
        <f aca="false">SUM(G5:G9)</f>
        <v>744014</v>
      </c>
    </row>
    <row r="15" customFormat="false" ht="15" hidden="false" customHeight="false" outlineLevel="0" collapsed="false">
      <c r="B15" s="2" t="s">
        <v>78</v>
      </c>
    </row>
  </sheetData>
  <printOptions headings="false" gridLines="false" gridLinesSet="true" horizontalCentered="false" verticalCentered="false"/>
  <pageMargins left="0.5" right="0.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8" min="3" style="0" width="14"/>
  </cols>
  <sheetData>
    <row r="1" customFormat="false" ht="15" hidden="false" customHeight="false" outlineLevel="0" collapsed="false">
      <c r="B1" s="1" t="s">
        <v>79</v>
      </c>
    </row>
    <row r="2" customFormat="false" ht="15" hidden="false" customHeight="false" outlineLevel="0" collapsed="false">
      <c r="B2" s="2" t="s">
        <v>80</v>
      </c>
    </row>
    <row r="4" customFormat="false" ht="15" hidden="false" customHeight="false" outlineLevel="0" collapsed="false">
      <c r="A4" s="6" t="s">
        <v>23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85</v>
      </c>
      <c r="G4" s="6" t="s">
        <v>86</v>
      </c>
      <c r="H4" s="6" t="s">
        <v>87</v>
      </c>
    </row>
    <row r="5" customFormat="false" ht="15" hidden="false" customHeight="false" outlineLevel="0" collapsed="false">
      <c r="A5" s="7" t="n">
        <v>1</v>
      </c>
      <c r="B5" s="8" t="s">
        <v>88</v>
      </c>
      <c r="C5" s="7" t="s">
        <v>89</v>
      </c>
      <c r="D5" s="9" t="n">
        <v>42800</v>
      </c>
      <c r="E5" s="9" t="n">
        <v>22000</v>
      </c>
      <c r="F5" s="9" t="n">
        <v>86200</v>
      </c>
      <c r="G5" s="9" t="n">
        <v>1820</v>
      </c>
      <c r="H5" s="9" t="n">
        <f aca="false">D5+E5+F5</f>
        <v>151000</v>
      </c>
    </row>
    <row r="6" customFormat="false" ht="15" hidden="false" customHeight="false" outlineLevel="0" collapsed="false">
      <c r="A6" s="7" t="n">
        <v>2</v>
      </c>
      <c r="B6" s="8" t="s">
        <v>90</v>
      </c>
      <c r="C6" s="7" t="s">
        <v>91</v>
      </c>
      <c r="D6" s="9" t="n">
        <v>38400</v>
      </c>
      <c r="E6" s="9" t="n">
        <v>20400</v>
      </c>
      <c r="F6" s="9" t="n">
        <v>38800</v>
      </c>
      <c r="G6" s="9" t="n">
        <v>1420</v>
      </c>
      <c r="H6" s="9" t="n">
        <f aca="false">D6+E6+F6</f>
        <v>97600</v>
      </c>
    </row>
    <row r="7" customFormat="false" ht="15" hidden="false" customHeight="false" outlineLevel="0" collapsed="false">
      <c r="A7" s="7" t="n">
        <v>3</v>
      </c>
      <c r="B7" s="8" t="s">
        <v>92</v>
      </c>
      <c r="C7" s="7" t="s">
        <v>93</v>
      </c>
      <c r="D7" s="9" t="n">
        <v>32800</v>
      </c>
      <c r="E7" s="9" t="n">
        <v>17200</v>
      </c>
      <c r="F7" s="9" t="n">
        <v>18400</v>
      </c>
      <c r="G7" s="9" t="n">
        <v>1108</v>
      </c>
      <c r="H7" s="9" t="n">
        <f aca="false">D7+E7+F7</f>
        <v>68400</v>
      </c>
    </row>
    <row r="8" customFormat="false" ht="15" hidden="false" customHeight="false" outlineLevel="0" collapsed="false">
      <c r="A8" s="7" t="n">
        <v>4</v>
      </c>
      <c r="B8" s="8" t="s">
        <v>94</v>
      </c>
      <c r="C8" s="7" t="s">
        <v>95</v>
      </c>
      <c r="D8" s="9" t="n">
        <v>28200</v>
      </c>
      <c r="E8" s="9" t="n">
        <v>14600</v>
      </c>
      <c r="F8" s="9" t="n">
        <v>4200</v>
      </c>
      <c r="G8" s="9" t="n">
        <v>860</v>
      </c>
      <c r="H8" s="9" t="n">
        <f aca="false">D8+E8+F8</f>
        <v>47000</v>
      </c>
    </row>
    <row r="9" customFormat="false" ht="15" hidden="false" customHeight="false" outlineLevel="0" collapsed="false">
      <c r="A9" s="7" t="n">
        <v>5</v>
      </c>
      <c r="B9" s="8" t="s">
        <v>96</v>
      </c>
      <c r="C9" s="7" t="s">
        <v>97</v>
      </c>
      <c r="D9" s="9" t="n">
        <v>22400</v>
      </c>
      <c r="E9" s="9" t="n">
        <v>12400</v>
      </c>
      <c r="F9" s="9" t="n">
        <v>11800</v>
      </c>
      <c r="G9" s="9" t="n">
        <v>748</v>
      </c>
      <c r="H9" s="9" t="n">
        <f aca="false">D9+E9+F9</f>
        <v>46600</v>
      </c>
    </row>
    <row r="10" customFormat="false" ht="15" hidden="false" customHeight="false" outlineLevel="0" collapsed="false">
      <c r="A10" s="7" t="n">
        <v>6</v>
      </c>
      <c r="B10" s="8" t="s">
        <v>98</v>
      </c>
      <c r="C10" s="7" t="s">
        <v>99</v>
      </c>
      <c r="D10" s="9" t="n">
        <v>18600</v>
      </c>
      <c r="E10" s="9" t="n">
        <v>9800</v>
      </c>
      <c r="F10" s="9" t="n">
        <v>8400</v>
      </c>
      <c r="G10" s="9" t="n">
        <v>612</v>
      </c>
      <c r="H10" s="9" t="n">
        <f aca="false">D10+E10+F10</f>
        <v>36800</v>
      </c>
    </row>
    <row r="11" customFormat="false" ht="15" hidden="false" customHeight="false" outlineLevel="0" collapsed="false">
      <c r="A11" s="7" t="n">
        <v>7</v>
      </c>
      <c r="B11" s="8" t="s">
        <v>100</v>
      </c>
      <c r="C11" s="7" t="s">
        <v>101</v>
      </c>
      <c r="D11" s="9" t="n">
        <v>14000</v>
      </c>
      <c r="E11" s="9" t="n">
        <v>7800</v>
      </c>
      <c r="F11" s="9" t="n">
        <v>0</v>
      </c>
      <c r="G11" s="9" t="n">
        <v>508</v>
      </c>
      <c r="H11" s="9" t="n">
        <f aca="false">D11+E11+F11</f>
        <v>21800</v>
      </c>
    </row>
    <row r="12" customFormat="false" ht="15" hidden="false" customHeight="false" outlineLevel="0" collapsed="false">
      <c r="A12" s="7" t="n">
        <v>8</v>
      </c>
      <c r="B12" s="8" t="s">
        <v>102</v>
      </c>
      <c r="C12" s="7" t="s">
        <v>103</v>
      </c>
      <c r="D12" s="9" t="n">
        <v>12400</v>
      </c>
      <c r="E12" s="9" t="n">
        <v>6200</v>
      </c>
      <c r="F12" s="9" t="n">
        <v>3400</v>
      </c>
      <c r="G12" s="9" t="n">
        <v>426</v>
      </c>
      <c r="H12" s="9" t="n">
        <f aca="false">D12+E12+F12</f>
        <v>22000</v>
      </c>
    </row>
    <row r="13" customFormat="false" ht="15" hidden="false" customHeight="false" outlineLevel="0" collapsed="false">
      <c r="A13" s="7" t="n">
        <v>9</v>
      </c>
      <c r="B13" s="8" t="s">
        <v>104</v>
      </c>
      <c r="C13" s="7" t="s">
        <v>105</v>
      </c>
      <c r="D13" s="9" t="n">
        <v>11200</v>
      </c>
      <c r="E13" s="9" t="n">
        <v>5800</v>
      </c>
      <c r="F13" s="9" t="n">
        <v>4200</v>
      </c>
      <c r="G13" s="9" t="n">
        <v>398</v>
      </c>
      <c r="H13" s="9" t="n">
        <f aca="false">D13+E13+F13</f>
        <v>21200</v>
      </c>
    </row>
    <row r="14" customFormat="false" ht="15" hidden="false" customHeight="false" outlineLevel="0" collapsed="false">
      <c r="A14" s="7" t="n">
        <v>10</v>
      </c>
      <c r="B14" s="8" t="s">
        <v>106</v>
      </c>
      <c r="C14" s="7" t="s">
        <v>107</v>
      </c>
      <c r="D14" s="9" t="n">
        <v>10400</v>
      </c>
      <c r="E14" s="9" t="n">
        <v>5400</v>
      </c>
      <c r="F14" s="9" t="n">
        <v>0</v>
      </c>
      <c r="G14" s="9" t="n">
        <v>360</v>
      </c>
      <c r="H14" s="9" t="n">
        <f aca="false">D14+E14+F14</f>
        <v>15800</v>
      </c>
    </row>
    <row r="15" customFormat="false" ht="15" hidden="false" customHeight="false" outlineLevel="0" collapsed="false">
      <c r="A15" s="7" t="n">
        <v>11</v>
      </c>
      <c r="B15" s="8" t="s">
        <v>108</v>
      </c>
      <c r="C15" s="7" t="s">
        <v>109</v>
      </c>
      <c r="D15" s="9" t="n">
        <v>9200</v>
      </c>
      <c r="E15" s="9" t="n">
        <v>4800</v>
      </c>
      <c r="F15" s="9" t="n">
        <v>2600</v>
      </c>
      <c r="G15" s="9" t="n">
        <v>298</v>
      </c>
      <c r="H15" s="9" t="n">
        <f aca="false">D15+E15+F15</f>
        <v>16600</v>
      </c>
    </row>
    <row r="16" customFormat="false" ht="15" hidden="false" customHeight="false" outlineLevel="0" collapsed="false">
      <c r="A16" s="7" t="n">
        <v>12</v>
      </c>
      <c r="B16" s="8" t="s">
        <v>110</v>
      </c>
      <c r="C16" s="7" t="s">
        <v>111</v>
      </c>
      <c r="D16" s="9" t="n">
        <v>8400</v>
      </c>
      <c r="E16" s="9" t="n">
        <v>4400</v>
      </c>
      <c r="F16" s="9" t="n">
        <v>14800</v>
      </c>
      <c r="G16" s="9" t="n">
        <v>284</v>
      </c>
      <c r="H16" s="9" t="n">
        <f aca="false">D16+E16+F16</f>
        <v>27600</v>
      </c>
    </row>
    <row r="17" customFormat="false" ht="15" hidden="false" customHeight="false" outlineLevel="0" collapsed="false">
      <c r="A17" s="7" t="n">
        <v>13</v>
      </c>
      <c r="B17" s="8" t="s">
        <v>112</v>
      </c>
      <c r="C17" s="7" t="s">
        <v>113</v>
      </c>
      <c r="D17" s="9" t="n">
        <v>8000</v>
      </c>
      <c r="E17" s="9" t="n">
        <v>4200</v>
      </c>
      <c r="F17" s="9" t="n">
        <v>0</v>
      </c>
      <c r="G17" s="9" t="n">
        <v>272</v>
      </c>
      <c r="H17" s="9" t="n">
        <f aca="false">D17+E17+F17</f>
        <v>12200</v>
      </c>
    </row>
    <row r="18" customFormat="false" ht="15" hidden="false" customHeight="false" outlineLevel="0" collapsed="false">
      <c r="A18" s="7" t="n">
        <v>14</v>
      </c>
      <c r="B18" s="8" t="s">
        <v>114</v>
      </c>
      <c r="C18" s="7" t="s">
        <v>115</v>
      </c>
      <c r="D18" s="9" t="n">
        <v>7200</v>
      </c>
      <c r="E18" s="9" t="n">
        <v>3800</v>
      </c>
      <c r="F18" s="9" t="n">
        <v>3200</v>
      </c>
      <c r="G18" s="9" t="n">
        <v>240</v>
      </c>
      <c r="H18" s="9" t="n">
        <f aca="false">D18+E18+F18</f>
        <v>14200</v>
      </c>
    </row>
    <row r="19" customFormat="false" ht="15" hidden="false" customHeight="false" outlineLevel="0" collapsed="false">
      <c r="A19" s="7" t="n">
        <v>15</v>
      </c>
      <c r="B19" s="8" t="s">
        <v>116</v>
      </c>
      <c r="C19" s="7" t="s">
        <v>117</v>
      </c>
      <c r="D19" s="9" t="n">
        <v>6800</v>
      </c>
      <c r="E19" s="9" t="n">
        <v>3400</v>
      </c>
      <c r="F19" s="9" t="n">
        <v>0</v>
      </c>
      <c r="G19" s="9" t="n">
        <v>216</v>
      </c>
      <c r="H19" s="9" t="n">
        <f aca="false">D19+E19+F19</f>
        <v>10200</v>
      </c>
    </row>
    <row r="20" customFormat="false" ht="15" hidden="false" customHeight="false" outlineLevel="0" collapsed="false">
      <c r="A20" s="7" t="n">
        <v>16</v>
      </c>
      <c r="B20" s="8" t="s">
        <v>118</v>
      </c>
      <c r="C20" s="7" t="s">
        <v>119</v>
      </c>
      <c r="D20" s="9" t="n">
        <v>6400</v>
      </c>
      <c r="E20" s="9" t="n">
        <v>3200</v>
      </c>
      <c r="F20" s="9" t="n">
        <v>2400</v>
      </c>
      <c r="G20" s="9" t="n">
        <v>204</v>
      </c>
      <c r="H20" s="9" t="n">
        <f aca="false">D20+E20+F20</f>
        <v>12000</v>
      </c>
    </row>
    <row r="21" customFormat="false" ht="15" hidden="false" customHeight="false" outlineLevel="0" collapsed="false">
      <c r="A21" s="7" t="n">
        <v>17</v>
      </c>
      <c r="B21" s="8" t="s">
        <v>120</v>
      </c>
      <c r="C21" s="7" t="s">
        <v>121</v>
      </c>
      <c r="D21" s="9" t="n">
        <v>5800</v>
      </c>
      <c r="E21" s="9" t="n">
        <v>3000</v>
      </c>
      <c r="F21" s="9" t="n">
        <v>8600</v>
      </c>
      <c r="G21" s="9" t="n">
        <v>192</v>
      </c>
      <c r="H21" s="9" t="n">
        <f aca="false">D21+E21+F21</f>
        <v>17400</v>
      </c>
    </row>
    <row r="22" customFormat="false" ht="15" hidden="false" customHeight="false" outlineLevel="0" collapsed="false">
      <c r="A22" s="7" t="n">
        <v>18</v>
      </c>
      <c r="B22" s="8" t="s">
        <v>122</v>
      </c>
      <c r="C22" s="7" t="s">
        <v>123</v>
      </c>
      <c r="D22" s="9" t="n">
        <v>5200</v>
      </c>
      <c r="E22" s="9" t="n">
        <v>2800</v>
      </c>
      <c r="F22" s="9" t="n">
        <v>0</v>
      </c>
      <c r="G22" s="9" t="n">
        <v>168</v>
      </c>
      <c r="H22" s="9" t="n">
        <f aca="false">D22+E22+F22</f>
        <v>8000</v>
      </c>
    </row>
    <row r="23" customFormat="false" ht="15" hidden="false" customHeight="false" outlineLevel="0" collapsed="false">
      <c r="A23" s="7" t="n">
        <v>19</v>
      </c>
      <c r="B23" s="8" t="s">
        <v>124</v>
      </c>
      <c r="C23" s="7" t="s">
        <v>125</v>
      </c>
      <c r="D23" s="9" t="n">
        <v>4400</v>
      </c>
      <c r="E23" s="9" t="n">
        <v>2400</v>
      </c>
      <c r="F23" s="9" t="n">
        <v>0</v>
      </c>
      <c r="G23" s="9" t="n">
        <v>142</v>
      </c>
      <c r="H23" s="9" t="n">
        <f aca="false">D23+E23+F23</f>
        <v>6800</v>
      </c>
    </row>
    <row r="24" customFormat="false" ht="15" hidden="false" customHeight="false" outlineLevel="0" collapsed="false">
      <c r="A24" s="7" t="n">
        <v>20</v>
      </c>
      <c r="B24" s="8" t="s">
        <v>126</v>
      </c>
      <c r="C24" s="7" t="s">
        <v>127</v>
      </c>
      <c r="D24" s="9" t="n">
        <v>4200</v>
      </c>
      <c r="E24" s="9" t="n">
        <v>2200</v>
      </c>
      <c r="F24" s="9" t="n">
        <v>7800</v>
      </c>
      <c r="G24" s="9" t="n">
        <v>134</v>
      </c>
      <c r="H24" s="9" t="n">
        <f aca="false">D24+E24+F24</f>
        <v>14200</v>
      </c>
    </row>
    <row r="25" customFormat="false" ht="15" hidden="false" customHeight="false" outlineLevel="0" collapsed="false">
      <c r="A25" s="7" t="n">
        <v>21</v>
      </c>
      <c r="B25" s="8" t="s">
        <v>128</v>
      </c>
      <c r="C25" s="7" t="s">
        <v>129</v>
      </c>
      <c r="D25" s="9" t="n">
        <v>3800</v>
      </c>
      <c r="E25" s="9" t="n">
        <v>2000</v>
      </c>
      <c r="F25" s="9" t="n">
        <v>4400</v>
      </c>
      <c r="G25" s="9" t="n">
        <v>108</v>
      </c>
      <c r="H25" s="9" t="n">
        <f aca="false">D25+E25+F25</f>
        <v>10200</v>
      </c>
    </row>
    <row r="26" customFormat="false" ht="15" hidden="false" customHeight="false" outlineLevel="0" collapsed="false">
      <c r="A26" s="7" t="n">
        <v>22</v>
      </c>
      <c r="B26" s="8" t="s">
        <v>130</v>
      </c>
      <c r="C26" s="7" t="s">
        <v>131</v>
      </c>
      <c r="D26" s="9" t="n">
        <v>3600</v>
      </c>
      <c r="E26" s="9" t="n">
        <v>1900</v>
      </c>
      <c r="F26" s="9" t="n">
        <v>5200</v>
      </c>
      <c r="G26" s="9" t="n">
        <v>96</v>
      </c>
      <c r="H26" s="9" t="n">
        <f aca="false">D26+E26+F26</f>
        <v>10700</v>
      </c>
    </row>
    <row r="27" customFormat="false" ht="15" hidden="false" customHeight="false" outlineLevel="0" collapsed="false">
      <c r="A27" s="7" t="n">
        <v>23</v>
      </c>
      <c r="B27" s="8" t="s">
        <v>132</v>
      </c>
      <c r="C27" s="7" t="s">
        <v>133</v>
      </c>
      <c r="D27" s="9" t="n">
        <v>3200</v>
      </c>
      <c r="E27" s="9" t="n">
        <v>1800</v>
      </c>
      <c r="F27" s="9" t="n">
        <v>0</v>
      </c>
      <c r="G27" s="9" t="n">
        <v>84</v>
      </c>
      <c r="H27" s="9" t="n">
        <f aca="false">D27+E27+F27</f>
        <v>5000</v>
      </c>
    </row>
    <row r="28" customFormat="false" ht="15" hidden="false" customHeight="false" outlineLevel="0" collapsed="false">
      <c r="A28" s="7" t="n">
        <v>24</v>
      </c>
      <c r="B28" s="8" t="s">
        <v>134</v>
      </c>
      <c r="C28" s="7" t="s">
        <v>135</v>
      </c>
      <c r="D28" s="9" t="n">
        <v>2800</v>
      </c>
      <c r="E28" s="9" t="n">
        <v>1600</v>
      </c>
      <c r="F28" s="9" t="n">
        <v>0</v>
      </c>
      <c r="G28" s="9" t="n">
        <v>72</v>
      </c>
      <c r="H28" s="9" t="n">
        <f aca="false">D28+E28+F28</f>
        <v>4400</v>
      </c>
    </row>
    <row r="29" customFormat="false" ht="15" hidden="false" customHeight="false" outlineLevel="0" collapsed="false">
      <c r="A29" s="7" t="n">
        <v>25</v>
      </c>
      <c r="B29" s="8" t="s">
        <v>136</v>
      </c>
      <c r="C29" s="7" t="s">
        <v>137</v>
      </c>
      <c r="D29" s="9" t="n">
        <v>2400</v>
      </c>
      <c r="E29" s="9" t="n">
        <v>1400</v>
      </c>
      <c r="F29" s="9" t="n">
        <v>2800</v>
      </c>
      <c r="G29" s="9" t="n">
        <v>58</v>
      </c>
      <c r="H29" s="9" t="n">
        <f aca="false">D29+E29+F29</f>
        <v>6600</v>
      </c>
    </row>
    <row r="30" customFormat="false" ht="15" hidden="false" customHeight="false" outlineLevel="0" collapsed="false">
      <c r="A30" s="7" t="n">
        <v>26</v>
      </c>
      <c r="B30" s="8" t="s">
        <v>138</v>
      </c>
      <c r="C30" s="7" t="s">
        <v>139</v>
      </c>
      <c r="D30" s="9" t="n">
        <v>2200</v>
      </c>
      <c r="E30" s="9" t="n">
        <v>1200</v>
      </c>
      <c r="F30" s="9" t="n">
        <v>0</v>
      </c>
      <c r="G30" s="9" t="n">
        <v>48</v>
      </c>
      <c r="H30" s="9" t="n">
        <f aca="false">D30+E30+F30</f>
        <v>3400</v>
      </c>
    </row>
    <row r="31" customFormat="false" ht="15" hidden="false" customHeight="false" outlineLevel="0" collapsed="false">
      <c r="A31" s="7" t="n">
        <v>27</v>
      </c>
      <c r="B31" s="8" t="s">
        <v>140</v>
      </c>
      <c r="C31" s="7" t="s">
        <v>141</v>
      </c>
      <c r="D31" s="9" t="n">
        <v>1800</v>
      </c>
      <c r="E31" s="9" t="n">
        <v>1000</v>
      </c>
      <c r="F31" s="9" t="n">
        <v>2814</v>
      </c>
      <c r="G31" s="9" t="n">
        <v>32</v>
      </c>
      <c r="H31" s="9" t="n">
        <f aca="false">D31+E31+F31</f>
        <v>5614</v>
      </c>
    </row>
    <row r="32" customFormat="false" ht="15" hidden="false" customHeight="false" outlineLevel="0" collapsed="false">
      <c r="A32" s="7" t="n">
        <v>28</v>
      </c>
      <c r="B32" s="8" t="s">
        <v>142</v>
      </c>
      <c r="C32" s="7" t="s">
        <v>143</v>
      </c>
      <c r="D32" s="9" t="n">
        <v>1400</v>
      </c>
      <c r="E32" s="9" t="n">
        <v>800</v>
      </c>
      <c r="F32" s="9" t="n">
        <v>0</v>
      </c>
      <c r="G32" s="9" t="n">
        <v>20</v>
      </c>
      <c r="H32" s="9" t="n">
        <f aca="false">D32+E32+F32</f>
        <v>2200</v>
      </c>
    </row>
    <row r="33" customFormat="false" ht="15" hidden="false" customHeight="false" outlineLevel="0" collapsed="false">
      <c r="A33" s="12"/>
      <c r="B33" s="13" t="s">
        <v>60</v>
      </c>
      <c r="C33" s="12"/>
      <c r="D33" s="14" t="n">
        <f aca="false">SUM(D5:D32)</f>
        <v>318000</v>
      </c>
      <c r="E33" s="14" t="n">
        <f aca="false">SUM(E5:E32)</f>
        <v>167500</v>
      </c>
      <c r="F33" s="14" t="n">
        <f aca="false">SUM(F5:F32)</f>
        <v>230014</v>
      </c>
      <c r="G33" s="14" t="n">
        <f aca="false">SUM(G5:G32)</f>
        <v>10928</v>
      </c>
      <c r="H33" s="14" t="n">
        <f aca="false">SUM(H5:H32)</f>
        <v>715514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24"/>
  </cols>
  <sheetData>
    <row r="1" customFormat="false" ht="15" hidden="false" customHeight="false" outlineLevel="0" collapsed="false">
      <c r="B1" s="1" t="s">
        <v>144</v>
      </c>
    </row>
    <row r="2" customFormat="false" ht="15" hidden="false" customHeight="false" outlineLevel="0" collapsed="false">
      <c r="B2" s="2" t="s">
        <v>145</v>
      </c>
    </row>
    <row r="4" customFormat="false" ht="15" hidden="false" customHeight="false" outlineLevel="0" collapsed="false">
      <c r="A4" s="6" t="s">
        <v>23</v>
      </c>
      <c r="B4" s="6" t="s">
        <v>146</v>
      </c>
      <c r="C4" s="6" t="s">
        <v>147</v>
      </c>
      <c r="D4" s="6" t="s">
        <v>148</v>
      </c>
    </row>
    <row r="5" customFormat="false" ht="15" hidden="false" customHeight="false" outlineLevel="0" collapsed="false">
      <c r="A5" s="7" t="n">
        <v>1</v>
      </c>
      <c r="B5" s="8" t="s">
        <v>149</v>
      </c>
      <c r="C5" s="8" t="s">
        <v>150</v>
      </c>
      <c r="D5" s="8" t="s">
        <v>151</v>
      </c>
    </row>
    <row r="6" customFormat="false" ht="15" hidden="false" customHeight="false" outlineLevel="0" collapsed="false">
      <c r="A6" s="7" t="n">
        <v>2</v>
      </c>
      <c r="B6" s="8" t="s">
        <v>152</v>
      </c>
      <c r="C6" s="8" t="s">
        <v>153</v>
      </c>
      <c r="D6" s="8" t="s">
        <v>154</v>
      </c>
    </row>
    <row r="7" customFormat="false" ht="15" hidden="false" customHeight="false" outlineLevel="0" collapsed="false">
      <c r="A7" s="7" t="n">
        <v>3</v>
      </c>
      <c r="B7" s="8" t="s">
        <v>155</v>
      </c>
      <c r="C7" s="8" t="s">
        <v>156</v>
      </c>
      <c r="D7" s="8" t="s">
        <v>157</v>
      </c>
    </row>
    <row r="8" customFormat="false" ht="15" hidden="false" customHeight="false" outlineLevel="0" collapsed="false">
      <c r="A8" s="7" t="n">
        <v>4</v>
      </c>
      <c r="B8" s="8" t="s">
        <v>158</v>
      </c>
      <c r="C8" s="8" t="s">
        <v>159</v>
      </c>
      <c r="D8" s="8" t="s">
        <v>160</v>
      </c>
    </row>
    <row r="9" customFormat="false" ht="15" hidden="false" customHeight="false" outlineLevel="0" collapsed="false">
      <c r="A9" s="7" t="n">
        <v>5</v>
      </c>
      <c r="B9" s="8" t="s">
        <v>161</v>
      </c>
      <c r="C9" s="8" t="s">
        <v>162</v>
      </c>
      <c r="D9" s="8" t="s">
        <v>163</v>
      </c>
    </row>
    <row r="10" customFormat="false" ht="15" hidden="false" customHeight="false" outlineLevel="0" collapsed="false">
      <c r="A10" s="7" t="n">
        <v>6</v>
      </c>
      <c r="B10" s="8" t="s">
        <v>164</v>
      </c>
      <c r="C10" s="8" t="s">
        <v>165</v>
      </c>
      <c r="D10" s="8" t="s">
        <v>166</v>
      </c>
    </row>
    <row r="11" customFormat="false" ht="15" hidden="false" customHeight="false" outlineLevel="0" collapsed="false">
      <c r="A11" s="7" t="n">
        <v>7</v>
      </c>
      <c r="B11" s="8" t="s">
        <v>167</v>
      </c>
      <c r="C11" s="8" t="s">
        <v>168</v>
      </c>
      <c r="D11" s="8" t="s">
        <v>157</v>
      </c>
    </row>
    <row r="12" customFormat="false" ht="15" hidden="false" customHeight="false" outlineLevel="0" collapsed="false">
      <c r="A12" s="7" t="n">
        <v>8</v>
      </c>
      <c r="B12" s="8" t="s">
        <v>169</v>
      </c>
      <c r="C12" s="8" t="s">
        <v>170</v>
      </c>
      <c r="D12" s="8" t="s">
        <v>171</v>
      </c>
    </row>
    <row r="13" customFormat="false" ht="15" hidden="false" customHeight="false" outlineLevel="0" collapsed="false">
      <c r="A13" s="7" t="n">
        <v>9</v>
      </c>
      <c r="B13" s="8" t="s">
        <v>172</v>
      </c>
      <c r="C13" s="8" t="s">
        <v>173</v>
      </c>
      <c r="D13" s="8" t="s">
        <v>174</v>
      </c>
    </row>
    <row r="14" customFormat="false" ht="15" hidden="false" customHeight="false" outlineLevel="0" collapsed="false">
      <c r="A14" s="7" t="n">
        <v>10</v>
      </c>
      <c r="B14" s="8" t="s">
        <v>175</v>
      </c>
      <c r="C14" s="8" t="s">
        <v>176</v>
      </c>
      <c r="D14" s="8" t="s">
        <v>177</v>
      </c>
    </row>
    <row r="15" customFormat="false" ht="15" hidden="false" customHeight="false" outlineLevel="0" collapsed="false">
      <c r="A15" s="7" t="n">
        <v>11</v>
      </c>
      <c r="B15" s="8" t="s">
        <v>178</v>
      </c>
      <c r="C15" s="8" t="s">
        <v>179</v>
      </c>
      <c r="D15" s="8" t="s">
        <v>180</v>
      </c>
    </row>
    <row r="16" customFormat="false" ht="15" hidden="false" customHeight="false" outlineLevel="0" collapsed="false">
      <c r="A16" s="7" t="n">
        <v>12</v>
      </c>
      <c r="B16" s="8" t="s">
        <v>181</v>
      </c>
      <c r="C16" s="8" t="s">
        <v>182</v>
      </c>
      <c r="D16" s="8" t="s">
        <v>183</v>
      </c>
    </row>
    <row r="17" customFormat="false" ht="15" hidden="false" customHeight="false" outlineLevel="0" collapsed="false">
      <c r="A17" s="7" t="n">
        <v>13</v>
      </c>
      <c r="B17" s="8" t="s">
        <v>184</v>
      </c>
      <c r="C17" s="8" t="s">
        <v>185</v>
      </c>
      <c r="D17" s="8" t="s">
        <v>183</v>
      </c>
    </row>
    <row r="18" customFormat="false" ht="15" hidden="false" customHeight="false" outlineLevel="0" collapsed="false">
      <c r="A18" s="7" t="n">
        <v>14</v>
      </c>
      <c r="B18" s="8" t="s">
        <v>186</v>
      </c>
      <c r="C18" s="8" t="s">
        <v>187</v>
      </c>
      <c r="D18" s="8" t="s">
        <v>188</v>
      </c>
    </row>
    <row r="19" customFormat="false" ht="15" hidden="false" customHeight="false" outlineLevel="0" collapsed="false">
      <c r="A19" s="7" t="n">
        <v>15</v>
      </c>
      <c r="B19" s="8" t="s">
        <v>189</v>
      </c>
      <c r="C19" s="8" t="s">
        <v>190</v>
      </c>
      <c r="D19" s="8" t="s">
        <v>191</v>
      </c>
    </row>
    <row r="20" customFormat="false" ht="15" hidden="false" customHeight="false" outlineLevel="0" collapsed="false">
      <c r="A20" s="7" t="n">
        <v>16</v>
      </c>
      <c r="B20" s="8" t="s">
        <v>192</v>
      </c>
      <c r="C20" s="8" t="s">
        <v>193</v>
      </c>
      <c r="D20" s="8" t="s">
        <v>194</v>
      </c>
    </row>
    <row r="23" customFormat="false" ht="15" hidden="false" customHeight="false" outlineLevel="0" collapsed="false">
      <c r="B23" s="5" t="s">
        <v>195</v>
      </c>
    </row>
    <row r="24" customFormat="false" ht="15" hidden="false" customHeight="false" outlineLevel="0" collapsed="false">
      <c r="B24" s="4" t="s">
        <v>196</v>
      </c>
    </row>
    <row r="25" customFormat="false" ht="15" hidden="false" customHeight="false" outlineLevel="0" collapsed="false">
      <c r="B25" s="4" t="s">
        <v>197</v>
      </c>
    </row>
    <row r="26" customFormat="false" ht="15" hidden="false" customHeight="false" outlineLevel="0" collapsed="false">
      <c r="B26" s="4" t="s">
        <v>198</v>
      </c>
    </row>
    <row r="27" customFormat="false" ht="15" hidden="false" customHeight="false" outlineLevel="0" collapsed="false">
      <c r="B27" s="4" t="s">
        <v>199</v>
      </c>
    </row>
  </sheetData>
  <printOptions headings="false" gridLines="false" gridLinesSet="true" horizontalCentered="false" verticalCentered="false"/>
  <pageMargins left="0.5" right="0.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2026-04-17T15:30:22Z</dcterms:created>
  <dc:creator>openpyxl</dc:creator>
  <dc:description/>
  <dc:language>en-US</dc:language>
  <cp:lastModifiedBy/>
  <dcterms:modified xsi:type="dcterms:W3CDTF">2026-04-17T15:30:22Z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