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SME B1-B11" sheetId="1" state="visible" r:id="rId3"/>
    <sheet name="Volunteer Hours" sheetId="2" state="visible" r:id="rId4"/>
    <sheet name="Evidence Manifest" sheetId="3" state="visible" r:id="rId5"/>
  </sheets>
  <definedNames>
    <definedName function="false" hidden="false" localSheetId="0" name="_xlnm.Print_Titles" vbProcedure="false">'VSME B1-B11'!$10:$10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<sst xmlns="http://schemas.openxmlformats.org/spreadsheetml/2006/main" count="279" uniqueCount="200">
  <si>
    <t xml:space="preserve">VSME BASIC MODULE — DATAPOINT REGISTER  |  FY2025</t>
  </si>
  <si>
    <t xml:space="preserve">Prepared under Commission Recommendation (EU) 2025/1507 on voluntary sustainability reporting by non-listed SMEs.</t>
  </si>
  <si>
    <t xml:space="preserve">Framework: VSME Basic Module B1–B11.  All amounts in EUR.  Units indicated per datapoint.</t>
  </si>
  <si>
    <t xml:space="preserve">Entity:</t>
  </si>
  <si>
    <t xml:space="preserve">Velebit Logistika d.o.o.</t>
  </si>
  <si>
    <t xml:space="preserve">Pack ref:</t>
  </si>
  <si>
    <t xml:space="preserve">DSRC-ESG-2025-VL-001184</t>
  </si>
  <si>
    <t xml:space="preserve">OIB:</t>
  </si>
  <si>
    <t xml:space="preserve">98765432109</t>
  </si>
  <si>
    <t xml:space="preserve">Prepared:</t>
  </si>
  <si>
    <t xml:space="preserve">31.03.2026</t>
  </si>
  <si>
    <t xml:space="preserve">Address:</t>
  </si>
  <si>
    <t xml:space="preserve">Slavonska avenija 86, 10000 Zagreb</t>
  </si>
  <si>
    <t xml:space="preserve">Approved:</t>
  </si>
  <si>
    <t xml:space="preserve">CFO — M. Pavić</t>
  </si>
  <si>
    <t xml:space="preserve">NACE:</t>
  </si>
  <si>
    <t xml:space="preserve">H 49.41 — Freight transport by road</t>
  </si>
  <si>
    <t xml:space="preserve">Pages:</t>
  </si>
  <si>
    <t xml:space="preserve">1 of 3</t>
  </si>
  <si>
    <t xml:space="preserve">#</t>
  </si>
  <si>
    <t xml:space="preserve">Ref.</t>
  </si>
  <si>
    <t xml:space="preserve">Datapoint</t>
  </si>
  <si>
    <t xml:space="preserve">Value</t>
  </si>
  <si>
    <t xml:space="preserve">Unit</t>
  </si>
  <si>
    <t xml:space="preserve">YoY Δ</t>
  </si>
  <si>
    <t xml:space="preserve">Source / note</t>
  </si>
  <si>
    <t xml:space="preserve">B1</t>
  </si>
  <si>
    <t xml:space="preserve">Reporting standard applied</t>
  </si>
  <si>
    <t xml:space="preserve">VSME Basic</t>
  </si>
  <si>
    <t xml:space="preserve">—</t>
  </si>
  <si>
    <t xml:space="preserve">Comm. Rec. (EU) 2025/1507</t>
  </si>
  <si>
    <t xml:space="preserve">Reporting period start</t>
  </si>
  <si>
    <t xml:space="preserve">01.01.2025</t>
  </si>
  <si>
    <t xml:space="preserve">date</t>
  </si>
  <si>
    <t xml:space="preserve">Accounting period</t>
  </si>
  <si>
    <t xml:space="preserve">Reporting period end</t>
  </si>
  <si>
    <t xml:space="preserve">31.12.2025</t>
  </si>
  <si>
    <t xml:space="preserve">Consolidation basis</t>
  </si>
  <si>
    <t xml:space="preserve">Entity-only</t>
  </si>
  <si>
    <t xml:space="preserve">No subsidiaries</t>
  </si>
  <si>
    <t xml:space="preserve">B2</t>
  </si>
  <si>
    <t xml:space="preserve">Written sustainability policy adopted</t>
  </si>
  <si>
    <t xml:space="preserve">Yes</t>
  </si>
  <si>
    <t xml:space="preserve">Resolution of Mgmt Board, 04.02.2025</t>
  </si>
  <si>
    <t xml:space="preserve">Published code of conduct for suppliers</t>
  </si>
  <si>
    <t xml:space="preserve">Annex II to procurement policy</t>
  </si>
  <si>
    <t xml:space="preserve">Target: scope 1+2 emissions reduction by 2030</t>
  </si>
  <si>
    <t xml:space="preserve">%</t>
  </si>
  <si>
    <t xml:space="preserve">vs. 2023 baseline</t>
  </si>
  <si>
    <t xml:space="preserve">Target: volunteering hours, % of FTE working time</t>
  </si>
  <si>
    <t xml:space="preserve">+0.3 pp</t>
  </si>
  <si>
    <t xml:space="preserve">FY2025 vs. FY2024</t>
  </si>
  <si>
    <t xml:space="preserve">B3</t>
  </si>
  <si>
    <t xml:space="preserve">Total energy consumption</t>
  </si>
  <si>
    <t xml:space="preserve">MWh</t>
  </si>
  <si>
    <t xml:space="preserve">+1.8%</t>
  </si>
  <si>
    <t xml:space="preserve">Utility invoices + fleet fuel</t>
  </si>
  <si>
    <t xml:space="preserve">Share of renewable electricity</t>
  </si>
  <si>
    <t xml:space="preserve">+7.0 pp</t>
  </si>
  <si>
    <t xml:space="preserve">Supplier GoO certificates</t>
  </si>
  <si>
    <t xml:space="preserve">Scope 1 GHG emissions</t>
  </si>
  <si>
    <t xml:space="preserve">t CO₂e</t>
  </si>
  <si>
    <t xml:space="preserve">-4.7%</t>
  </si>
  <si>
    <t xml:space="preserve">Fleet diesel, refrigerants</t>
  </si>
  <si>
    <t xml:space="preserve">Scope 2 GHG emissions (location-based)</t>
  </si>
  <si>
    <t xml:space="preserve">-6.4%</t>
  </si>
  <si>
    <t xml:space="preserve">Grid electricity</t>
  </si>
  <si>
    <t xml:space="preserve">Scope 1 + 2 combined</t>
  </si>
  <si>
    <t xml:space="preserve">-5.0%</t>
  </si>
  <si>
    <t xml:space="preserve">Sum B3.3 + B3.4</t>
  </si>
  <si>
    <t xml:space="preserve">Emissions intensity per EUR 1m revenue</t>
  </si>
  <si>
    <t xml:space="preserve">-7.2%</t>
  </si>
  <si>
    <t xml:space="preserve">B3.5 / revenue</t>
  </si>
  <si>
    <t xml:space="preserve">B4</t>
  </si>
  <si>
    <t xml:space="preserve">Pollutants to air, water, soil exceeding thresholds</t>
  </si>
  <si>
    <t xml:space="preserve">None</t>
  </si>
  <si>
    <t xml:space="preserve">E-PRTR thresholds not triggered</t>
  </si>
  <si>
    <t xml:space="preserve">B5</t>
  </si>
  <si>
    <t xml:space="preserve">Sites within or adjacent to protected areas</t>
  </si>
  <si>
    <t xml:space="preserve">sites</t>
  </si>
  <si>
    <t xml:space="preserve">0</t>
  </si>
  <si>
    <t xml:space="preserve">Natura 2000 buffer — Jastrebarsko DC</t>
  </si>
  <si>
    <t xml:space="preserve">B6</t>
  </si>
  <si>
    <t xml:space="preserve">Total water withdrawal</t>
  </si>
  <si>
    <t xml:space="preserve">m³</t>
  </si>
  <si>
    <t xml:space="preserve">-2.1%</t>
  </si>
  <si>
    <t xml:space="preserve">Municipal supply</t>
  </si>
  <si>
    <t xml:space="preserve">Water withdrawal in water-stressed areas</t>
  </si>
  <si>
    <t xml:space="preserve">Aqueduct baseline water stress ≤ medium</t>
  </si>
  <si>
    <t xml:space="preserve">B7</t>
  </si>
  <si>
    <t xml:space="preserve">Total waste generated</t>
  </si>
  <si>
    <t xml:space="preserve">tonnes</t>
  </si>
  <si>
    <t xml:space="preserve">+3.4%</t>
  </si>
  <si>
    <t xml:space="preserve">Mostly packaging</t>
  </si>
  <si>
    <t xml:space="preserve">Share diverted from disposal (recycled)</t>
  </si>
  <si>
    <t xml:space="preserve">+4.0 pp</t>
  </si>
  <si>
    <t xml:space="preserve">Waste-management contractor report</t>
  </si>
  <si>
    <t xml:space="preserve">Hazardous waste</t>
  </si>
  <si>
    <t xml:space="preserve">-0.4 t</t>
  </si>
  <si>
    <t xml:space="preserve">Used oil, batteries</t>
  </si>
  <si>
    <t xml:space="preserve">B8</t>
  </si>
  <si>
    <t xml:space="preserve">Employees — headcount at period end</t>
  </si>
  <si>
    <t xml:space="preserve">persons</t>
  </si>
  <si>
    <t xml:space="preserve">+7</t>
  </si>
  <si>
    <t xml:space="preserve">HR register</t>
  </si>
  <si>
    <t xml:space="preserve">Employees — FTE average</t>
  </si>
  <si>
    <t xml:space="preserve">FTE</t>
  </si>
  <si>
    <t xml:space="preserve">+6.1</t>
  </si>
  <si>
    <t xml:space="preserve">Payroll</t>
  </si>
  <si>
    <t xml:space="preserve">Share of female employees</t>
  </si>
  <si>
    <t xml:space="preserve">+2.0 pp</t>
  </si>
  <si>
    <t xml:space="preserve">Share of female managers</t>
  </si>
  <si>
    <t xml:space="preserve">+3.0 pp</t>
  </si>
  <si>
    <t xml:space="preserve">Employees under collective agreement</t>
  </si>
  <si>
    <t xml:space="preserve">KU for road transport sector</t>
  </si>
  <si>
    <t xml:space="preserve">Volunteering hours during working time</t>
  </si>
  <si>
    <t xml:space="preserve">hours</t>
  </si>
  <si>
    <t xml:space="preserve">+612</t>
  </si>
  <si>
    <t xml:space="preserve">DajSrce audit log</t>
  </si>
  <si>
    <t xml:space="preserve">Employees participating in volunteering</t>
  </si>
  <si>
    <t xml:space="preserve">+18</t>
  </si>
  <si>
    <t xml:space="preserve">B9</t>
  </si>
  <si>
    <t xml:space="preserve">Lost-time injury frequency rate (LTIFR)</t>
  </si>
  <si>
    <t xml:space="preserve">per 1m h</t>
  </si>
  <si>
    <t xml:space="preserve">-0.5</t>
  </si>
  <si>
    <t xml:space="preserve">HSE register</t>
  </si>
  <si>
    <t xml:space="preserve">Fatalities</t>
  </si>
  <si>
    <t xml:space="preserve">cases</t>
  </si>
  <si>
    <t xml:space="preserve">Training hours per employee (avg.)</t>
  </si>
  <si>
    <t xml:space="preserve">+3.0</t>
  </si>
  <si>
    <t xml:space="preserve">HRD records</t>
  </si>
  <si>
    <t xml:space="preserve">Gender pay gap — unadjusted</t>
  </si>
  <si>
    <t xml:space="preserve">-0.8 pp</t>
  </si>
  <si>
    <t xml:space="preserve">Payroll 2025</t>
  </si>
  <si>
    <t xml:space="preserve">B10</t>
  </si>
  <si>
    <t xml:space="preserve">Confirmed human-rights incidents</t>
  </si>
  <si>
    <t xml:space="preserve">Whistleblowing channel</t>
  </si>
  <si>
    <t xml:space="preserve">B11</t>
  </si>
  <si>
    <t xml:space="preserve">Incidents of bribery or corruption</t>
  </si>
  <si>
    <t xml:space="preserve">Compliance register</t>
  </si>
  <si>
    <t xml:space="preserve">Fines / sanctions for corruption-related breaches</t>
  </si>
  <si>
    <t xml:space="preserve">EUR</t>
  </si>
  <si>
    <t xml:space="preserve">Legal register</t>
  </si>
  <si>
    <t xml:space="preserve">VOLUNTEER HOURS — BY RECIPIENT INSTITUTION (FY2025)</t>
  </si>
  <si>
    <t xml:space="preserve">Source: DajSrce check-in/check-out audit log.  Reconciles to datapoint B8 (1,248 h / 41 persons).</t>
  </si>
  <si>
    <t xml:space="preserve">Recipient institution</t>
  </si>
  <si>
    <t xml:space="preserve">OIB</t>
  </si>
  <si>
    <t xml:space="preserve">Hours</t>
  </si>
  <si>
    <t xml:space="preserve">Employees</t>
  </si>
  <si>
    <t xml:space="preserve">Events</t>
  </si>
  <si>
    <t xml:space="preserve">Hrvatski Crveni križ — Zagreb</t>
  </si>
  <si>
    <t xml:space="preserve">68794821055</t>
  </si>
  <si>
    <t xml:space="preserve">Caritas Zagrebačke nadbiskupije</t>
  </si>
  <si>
    <t xml:space="preserve">43810491621</t>
  </si>
  <si>
    <t xml:space="preserve">Pučka kuhinja sv. Ante</t>
  </si>
  <si>
    <t xml:space="preserve">13895204716</t>
  </si>
  <si>
    <t xml:space="preserve">SOS Dječje selo Hrvatska</t>
  </si>
  <si>
    <t xml:space="preserve">97382641058</t>
  </si>
  <si>
    <t xml:space="preserve">Udruga Mali zmaj</t>
  </si>
  <si>
    <t xml:space="preserve">41208637945</t>
  </si>
  <si>
    <t xml:space="preserve">Zaklada Hrabri telefon</t>
  </si>
  <si>
    <t xml:space="preserve">39048217655</t>
  </si>
  <si>
    <t xml:space="preserve">Udruga slijepih Zagreb</t>
  </si>
  <si>
    <t xml:space="preserve">50297364810</t>
  </si>
  <si>
    <t xml:space="preserve">Dom umirovljenika Trnje</t>
  </si>
  <si>
    <t xml:space="preserve">27184065931</t>
  </si>
  <si>
    <t xml:space="preserve">TOTAL</t>
  </si>
  <si>
    <t xml:space="preserve">Note: Employee count is the unique count across institutions; individuals volunteering at multiple recipients are de-duplicated at total level (B8 = 41).</t>
  </si>
  <si>
    <t xml:space="preserve">EVIDENCE FILE MANIFEST</t>
  </si>
  <si>
    <t xml:space="preserve">All source files retained in Storage bucket 'exports' with SHA-256 integrity hashes (first 12 chars shown).</t>
  </si>
  <si>
    <t xml:space="preserve">File / artefact</t>
  </si>
  <si>
    <t xml:space="preserve">File type</t>
  </si>
  <si>
    <t xml:space="preserve">Size (KB)</t>
  </si>
  <si>
    <t xml:space="preserve">SHA-256 (first 12)</t>
  </si>
  <si>
    <t xml:space="preserve">Utility invoices FY2025.pdf</t>
  </si>
  <si>
    <t xml:space="preserve">application/pdf</t>
  </si>
  <si>
    <t xml:space="preserve">3c81fa09b742</t>
  </si>
  <si>
    <t xml:space="preserve">Fleet fuel card summary FY2025.csv</t>
  </si>
  <si>
    <t xml:space="preserve">text/csv</t>
  </si>
  <si>
    <t xml:space="preserve">90d2716ce408</t>
  </si>
  <si>
    <t xml:space="preserve">GoO certificates bundle.zip</t>
  </si>
  <si>
    <t xml:space="preserve">application/zip</t>
  </si>
  <si>
    <t xml:space="preserve">2fb09a48e117</t>
  </si>
  <si>
    <t xml:space="preserve">Water utility invoices FY2025.pdf</t>
  </si>
  <si>
    <t xml:space="preserve">ac710bd295ff</t>
  </si>
  <si>
    <t xml:space="preserve">Waste manifest FY2025.xlsx</t>
  </si>
  <si>
    <t xml:space="preserve">application/xlsx</t>
  </si>
  <si>
    <t xml:space="preserve">58ef3a017c92</t>
  </si>
  <si>
    <t xml:space="preserve">HR register export 2025-12-31.csv</t>
  </si>
  <si>
    <t xml:space="preserve">17a4e9f0b3c4</t>
  </si>
  <si>
    <t xml:space="preserve">Payroll FTE summary 2025.xlsx</t>
  </si>
  <si>
    <t xml:space="preserve">6e2ba41709df</t>
  </si>
  <si>
    <t xml:space="preserve">DajSrce volunteer audit log 2025.csv</t>
  </si>
  <si>
    <t xml:space="preserve">d04e15c91abf</t>
  </si>
  <si>
    <t xml:space="preserve">HSE incident register 2025.xlsx</t>
  </si>
  <si>
    <t xml:space="preserve">bf082e473510</t>
  </si>
  <si>
    <t xml:space="preserve">Whistleblowing channel log 2025.pdf</t>
  </si>
  <si>
    <t xml:space="preserve">70e419db8fa2</t>
  </si>
  <si>
    <t xml:space="preserve">Compliance register 2025.pdf</t>
  </si>
  <si>
    <t xml:space="preserve">c13a74ef09b5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</si>
</sst>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38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  <c r="E5" s="3" t="s">
        <v>5</v>
      </c>
      <c r="F5" s="4" t="s">
        <v>6</v>
      </c>
      <c r="G5" s="4"/>
    </row>
    <row r="6" customFormat="false" ht="15" hidden="false" customHeight="false" outlineLevel="0" collapsed="false">
      <c r="B6" s="3" t="s">
        <v>7</v>
      </c>
      <c r="C6" s="4" t="s">
        <v>8</v>
      </c>
      <c r="E6" s="3" t="s">
        <v>9</v>
      </c>
      <c r="F6" s="4" t="s">
        <v>10</v>
      </c>
    </row>
    <row r="7" customFormat="false" ht="15" hidden="false" customHeight="false" outlineLevel="0" collapsed="false">
      <c r="B7" s="3" t="s">
        <v>11</v>
      </c>
      <c r="C7" s="4" t="s">
        <v>12</v>
      </c>
      <c r="E7" s="3" t="s">
        <v>13</v>
      </c>
      <c r="F7" s="4" t="s">
        <v>14</v>
      </c>
    </row>
    <row r="8" customFormat="false" ht="15" hidden="false" customHeight="false" outlineLevel="0" collapsed="false">
      <c r="B8" s="3" t="s">
        <v>15</v>
      </c>
      <c r="C8" s="4" t="s">
        <v>16</v>
      </c>
      <c r="E8" s="3" t="s">
        <v>17</v>
      </c>
      <c r="F8" s="4" t="s">
        <v>18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</row>
    <row r="11" customFormat="false" ht="15" hidden="false" customHeight="false" outlineLevel="0" collapsed="false">
      <c r="A11" s="6" t="n">
        <v>1</v>
      </c>
      <c r="B11" s="6" t="s">
        <v>26</v>
      </c>
      <c r="C11" s="7" t="s">
        <v>27</v>
      </c>
      <c r="D11" s="8" t="s">
        <v>28</v>
      </c>
      <c r="E11" s="6" t="s">
        <v>29</v>
      </c>
      <c r="F11" s="8"/>
      <c r="G11" s="7" t="s">
        <v>30</v>
      </c>
    </row>
    <row r="12" customFormat="false" ht="15" hidden="false" customHeight="false" outlineLevel="0" collapsed="false">
      <c r="A12" s="6" t="n">
        <v>2</v>
      </c>
      <c r="B12" s="6" t="s">
        <v>26</v>
      </c>
      <c r="C12" s="7" t="s">
        <v>31</v>
      </c>
      <c r="D12" s="8" t="s">
        <v>32</v>
      </c>
      <c r="E12" s="6" t="s">
        <v>33</v>
      </c>
      <c r="F12" s="8"/>
      <c r="G12" s="7" t="s">
        <v>34</v>
      </c>
    </row>
    <row r="13" customFormat="false" ht="15" hidden="false" customHeight="false" outlineLevel="0" collapsed="false">
      <c r="A13" s="6" t="n">
        <v>3</v>
      </c>
      <c r="B13" s="6" t="s">
        <v>26</v>
      </c>
      <c r="C13" s="7" t="s">
        <v>35</v>
      </c>
      <c r="D13" s="8" t="s">
        <v>36</v>
      </c>
      <c r="E13" s="6" t="s">
        <v>33</v>
      </c>
      <c r="F13" s="8"/>
      <c r="G13" s="7" t="s">
        <v>34</v>
      </c>
    </row>
    <row r="14" customFormat="false" ht="15" hidden="false" customHeight="false" outlineLevel="0" collapsed="false">
      <c r="A14" s="6" t="n">
        <v>4</v>
      </c>
      <c r="B14" s="6" t="s">
        <v>26</v>
      </c>
      <c r="C14" s="7" t="s">
        <v>37</v>
      </c>
      <c r="D14" s="8" t="s">
        <v>38</v>
      </c>
      <c r="E14" s="6" t="s">
        <v>29</v>
      </c>
      <c r="F14" s="8"/>
      <c r="G14" s="7" t="s">
        <v>39</v>
      </c>
    </row>
    <row r="15" customFormat="false" ht="15" hidden="false" customHeight="false" outlineLevel="0" collapsed="false">
      <c r="A15" s="6" t="n">
        <v>5</v>
      </c>
      <c r="B15" s="6" t="s">
        <v>40</v>
      </c>
      <c r="C15" s="7" t="s">
        <v>41</v>
      </c>
      <c r="D15" s="8" t="s">
        <v>42</v>
      </c>
      <c r="E15" s="6" t="s">
        <v>29</v>
      </c>
      <c r="F15" s="8"/>
      <c r="G15" s="7" t="s">
        <v>43</v>
      </c>
    </row>
    <row r="16" customFormat="false" ht="15" hidden="false" customHeight="false" outlineLevel="0" collapsed="false">
      <c r="A16" s="6" t="n">
        <v>6</v>
      </c>
      <c r="B16" s="6" t="s">
        <v>40</v>
      </c>
      <c r="C16" s="7" t="s">
        <v>44</v>
      </c>
      <c r="D16" s="8" t="s">
        <v>42</v>
      </c>
      <c r="E16" s="6" t="s">
        <v>29</v>
      </c>
      <c r="F16" s="8"/>
      <c r="G16" s="7" t="s">
        <v>45</v>
      </c>
    </row>
    <row r="17" customFormat="false" ht="15" hidden="false" customHeight="false" outlineLevel="0" collapsed="false">
      <c r="A17" s="6" t="n">
        <v>7</v>
      </c>
      <c r="B17" s="6" t="s">
        <v>40</v>
      </c>
      <c r="C17" s="7" t="s">
        <v>46</v>
      </c>
      <c r="D17" s="9" t="n">
        <v>0.2</v>
      </c>
      <c r="E17" s="6" t="s">
        <v>47</v>
      </c>
      <c r="F17" s="8"/>
      <c r="G17" s="7" t="s">
        <v>48</v>
      </c>
    </row>
    <row r="18" customFormat="false" ht="15" hidden="false" customHeight="false" outlineLevel="0" collapsed="false">
      <c r="A18" s="6" t="n">
        <v>8</v>
      </c>
      <c r="B18" s="6" t="s">
        <v>40</v>
      </c>
      <c r="C18" s="7" t="s">
        <v>49</v>
      </c>
      <c r="D18" s="9" t="n">
        <v>0.01</v>
      </c>
      <c r="E18" s="6" t="s">
        <v>47</v>
      </c>
      <c r="F18" s="8" t="s">
        <v>50</v>
      </c>
      <c r="G18" s="7" t="s">
        <v>51</v>
      </c>
    </row>
    <row r="19" customFormat="false" ht="15" hidden="false" customHeight="false" outlineLevel="0" collapsed="false">
      <c r="A19" s="6" t="n">
        <v>9</v>
      </c>
      <c r="B19" s="6" t="s">
        <v>52</v>
      </c>
      <c r="C19" s="7" t="s">
        <v>53</v>
      </c>
      <c r="D19" s="10" t="n">
        <v>24180</v>
      </c>
      <c r="E19" s="6" t="s">
        <v>54</v>
      </c>
      <c r="F19" s="8" t="s">
        <v>55</v>
      </c>
      <c r="G19" s="7" t="s">
        <v>56</v>
      </c>
    </row>
    <row r="20" customFormat="false" ht="15" hidden="false" customHeight="false" outlineLevel="0" collapsed="false">
      <c r="A20" s="6" t="n">
        <v>10</v>
      </c>
      <c r="B20" s="6" t="s">
        <v>52</v>
      </c>
      <c r="C20" s="7" t="s">
        <v>57</v>
      </c>
      <c r="D20" s="9" t="n">
        <v>0.42</v>
      </c>
      <c r="E20" s="6" t="s">
        <v>47</v>
      </c>
      <c r="F20" s="8" t="s">
        <v>58</v>
      </c>
      <c r="G20" s="7" t="s">
        <v>59</v>
      </c>
    </row>
    <row r="21" customFormat="false" ht="15" hidden="false" customHeight="false" outlineLevel="0" collapsed="false">
      <c r="A21" s="6" t="n">
        <v>11</v>
      </c>
      <c r="B21" s="6" t="s">
        <v>52</v>
      </c>
      <c r="C21" s="7" t="s">
        <v>60</v>
      </c>
      <c r="D21" s="10" t="n">
        <v>7620</v>
      </c>
      <c r="E21" s="6" t="s">
        <v>61</v>
      </c>
      <c r="F21" s="8" t="s">
        <v>62</v>
      </c>
      <c r="G21" s="7" t="s">
        <v>63</v>
      </c>
    </row>
    <row r="22" customFormat="false" ht="15" hidden="false" customHeight="false" outlineLevel="0" collapsed="false">
      <c r="A22" s="6" t="n">
        <v>12</v>
      </c>
      <c r="B22" s="6" t="s">
        <v>52</v>
      </c>
      <c r="C22" s="7" t="s">
        <v>64</v>
      </c>
      <c r="D22" s="10" t="n">
        <v>1308</v>
      </c>
      <c r="E22" s="6" t="s">
        <v>61</v>
      </c>
      <c r="F22" s="8" t="s">
        <v>65</v>
      </c>
      <c r="G22" s="7" t="s">
        <v>66</v>
      </c>
    </row>
    <row r="23" customFormat="false" ht="15" hidden="false" customHeight="false" outlineLevel="0" collapsed="false">
      <c r="A23" s="6" t="n">
        <v>13</v>
      </c>
      <c r="B23" s="6" t="s">
        <v>52</v>
      </c>
      <c r="C23" s="7" t="s">
        <v>67</v>
      </c>
      <c r="D23" s="10" t="n">
        <v>8928</v>
      </c>
      <c r="E23" s="6" t="s">
        <v>61</v>
      </c>
      <c r="F23" s="8" t="s">
        <v>68</v>
      </c>
      <c r="G23" s="7" t="s">
        <v>69</v>
      </c>
    </row>
    <row r="24" customFormat="false" ht="15" hidden="false" customHeight="false" outlineLevel="0" collapsed="false">
      <c r="A24" s="6" t="n">
        <v>14</v>
      </c>
      <c r="B24" s="6" t="s">
        <v>52</v>
      </c>
      <c r="C24" s="7" t="s">
        <v>70</v>
      </c>
      <c r="D24" s="10" t="n">
        <v>272</v>
      </c>
      <c r="E24" s="6" t="s">
        <v>61</v>
      </c>
      <c r="F24" s="8" t="s">
        <v>71</v>
      </c>
      <c r="G24" s="7" t="s">
        <v>72</v>
      </c>
    </row>
    <row r="25" customFormat="false" ht="15" hidden="false" customHeight="false" outlineLevel="0" collapsed="false">
      <c r="A25" s="6" t="n">
        <v>15</v>
      </c>
      <c r="B25" s="6" t="s">
        <v>73</v>
      </c>
      <c r="C25" s="7" t="s">
        <v>74</v>
      </c>
      <c r="D25" s="8" t="s">
        <v>75</v>
      </c>
      <c r="E25" s="6" t="s">
        <v>29</v>
      </c>
      <c r="F25" s="8"/>
      <c r="G25" s="7" t="s">
        <v>76</v>
      </c>
    </row>
    <row r="26" customFormat="false" ht="15" hidden="false" customHeight="false" outlineLevel="0" collapsed="false">
      <c r="A26" s="6" t="n">
        <v>16</v>
      </c>
      <c r="B26" s="6" t="s">
        <v>77</v>
      </c>
      <c r="C26" s="7" t="s">
        <v>78</v>
      </c>
      <c r="D26" s="10" t="n">
        <v>2</v>
      </c>
      <c r="E26" s="6" t="s">
        <v>79</v>
      </c>
      <c r="F26" s="8" t="s">
        <v>80</v>
      </c>
      <c r="G26" s="7" t="s">
        <v>81</v>
      </c>
    </row>
    <row r="27" customFormat="false" ht="15" hidden="false" customHeight="false" outlineLevel="0" collapsed="false">
      <c r="A27" s="6" t="n">
        <v>17</v>
      </c>
      <c r="B27" s="6" t="s">
        <v>82</v>
      </c>
      <c r="C27" s="7" t="s">
        <v>83</v>
      </c>
      <c r="D27" s="10" t="n">
        <v>9840</v>
      </c>
      <c r="E27" s="6" t="s">
        <v>84</v>
      </c>
      <c r="F27" s="8" t="s">
        <v>85</v>
      </c>
      <c r="G27" s="7" t="s">
        <v>86</v>
      </c>
    </row>
    <row r="28" customFormat="false" ht="15" hidden="false" customHeight="false" outlineLevel="0" collapsed="false">
      <c r="A28" s="6" t="n">
        <v>18</v>
      </c>
      <c r="B28" s="6" t="s">
        <v>82</v>
      </c>
      <c r="C28" s="7" t="s">
        <v>87</v>
      </c>
      <c r="D28" s="10" t="n">
        <v>0</v>
      </c>
      <c r="E28" s="6" t="s">
        <v>84</v>
      </c>
      <c r="F28" s="8" t="s">
        <v>80</v>
      </c>
      <c r="G28" s="7" t="s">
        <v>88</v>
      </c>
    </row>
    <row r="29" customFormat="false" ht="15" hidden="false" customHeight="false" outlineLevel="0" collapsed="false">
      <c r="A29" s="6" t="n">
        <v>19</v>
      </c>
      <c r="B29" s="6" t="s">
        <v>89</v>
      </c>
      <c r="C29" s="7" t="s">
        <v>90</v>
      </c>
      <c r="D29" s="10" t="n">
        <v>184</v>
      </c>
      <c r="E29" s="6" t="s">
        <v>91</v>
      </c>
      <c r="F29" s="8" t="s">
        <v>92</v>
      </c>
      <c r="G29" s="7" t="s">
        <v>93</v>
      </c>
    </row>
    <row r="30" customFormat="false" ht="15" hidden="false" customHeight="false" outlineLevel="0" collapsed="false">
      <c r="A30" s="6" t="n">
        <v>20</v>
      </c>
      <c r="B30" s="6" t="s">
        <v>89</v>
      </c>
      <c r="C30" s="7" t="s">
        <v>94</v>
      </c>
      <c r="D30" s="9" t="n">
        <v>0.73</v>
      </c>
      <c r="E30" s="6" t="s">
        <v>47</v>
      </c>
      <c r="F30" s="8" t="s">
        <v>95</v>
      </c>
      <c r="G30" s="7" t="s">
        <v>96</v>
      </c>
    </row>
    <row r="31" customFormat="false" ht="15" hidden="false" customHeight="false" outlineLevel="0" collapsed="false">
      <c r="A31" s="6" t="n">
        <v>21</v>
      </c>
      <c r="B31" s="6" t="s">
        <v>89</v>
      </c>
      <c r="C31" s="7" t="s">
        <v>97</v>
      </c>
      <c r="D31" s="11" t="n">
        <v>2.3</v>
      </c>
      <c r="E31" s="6" t="s">
        <v>91</v>
      </c>
      <c r="F31" s="8" t="s">
        <v>98</v>
      </c>
      <c r="G31" s="7" t="s">
        <v>99</v>
      </c>
    </row>
    <row r="32" customFormat="false" ht="15" hidden="false" customHeight="false" outlineLevel="0" collapsed="false">
      <c r="A32" s="6" t="n">
        <v>22</v>
      </c>
      <c r="B32" s="6" t="s">
        <v>100</v>
      </c>
      <c r="C32" s="7" t="s">
        <v>101</v>
      </c>
      <c r="D32" s="10" t="n">
        <v>183</v>
      </c>
      <c r="E32" s="6" t="s">
        <v>102</v>
      </c>
      <c r="F32" s="8" t="s">
        <v>103</v>
      </c>
      <c r="G32" s="7" t="s">
        <v>104</v>
      </c>
    </row>
    <row r="33" customFormat="false" ht="15" hidden="false" customHeight="false" outlineLevel="0" collapsed="false">
      <c r="A33" s="6" t="n">
        <v>23</v>
      </c>
      <c r="B33" s="6" t="s">
        <v>100</v>
      </c>
      <c r="C33" s="7" t="s">
        <v>105</v>
      </c>
      <c r="D33" s="11" t="n">
        <v>178.4</v>
      </c>
      <c r="E33" s="6" t="s">
        <v>106</v>
      </c>
      <c r="F33" s="8" t="s">
        <v>107</v>
      </c>
      <c r="G33" s="7" t="s">
        <v>108</v>
      </c>
    </row>
    <row r="34" customFormat="false" ht="15" hidden="false" customHeight="false" outlineLevel="0" collapsed="false">
      <c r="A34" s="6" t="n">
        <v>24</v>
      </c>
      <c r="B34" s="6" t="s">
        <v>100</v>
      </c>
      <c r="C34" s="7" t="s">
        <v>109</v>
      </c>
      <c r="D34" s="9" t="n">
        <v>0.21</v>
      </c>
      <c r="E34" s="6" t="s">
        <v>47</v>
      </c>
      <c r="F34" s="8" t="s">
        <v>110</v>
      </c>
      <c r="G34" s="7" t="s">
        <v>104</v>
      </c>
    </row>
    <row r="35" customFormat="false" ht="15" hidden="false" customHeight="false" outlineLevel="0" collapsed="false">
      <c r="A35" s="6" t="n">
        <v>25</v>
      </c>
      <c r="B35" s="6" t="s">
        <v>100</v>
      </c>
      <c r="C35" s="7" t="s">
        <v>111</v>
      </c>
      <c r="D35" s="9" t="n">
        <v>0.33</v>
      </c>
      <c r="E35" s="6" t="s">
        <v>47</v>
      </c>
      <c r="F35" s="8" t="s">
        <v>112</v>
      </c>
      <c r="G35" s="7" t="s">
        <v>104</v>
      </c>
    </row>
    <row r="36" customFormat="false" ht="15" hidden="false" customHeight="false" outlineLevel="0" collapsed="false">
      <c r="A36" s="6" t="n">
        <v>26</v>
      </c>
      <c r="B36" s="6" t="s">
        <v>100</v>
      </c>
      <c r="C36" s="7" t="s">
        <v>113</v>
      </c>
      <c r="D36" s="9" t="n">
        <v>1</v>
      </c>
      <c r="E36" s="6" t="s">
        <v>47</v>
      </c>
      <c r="F36" s="8" t="s">
        <v>80</v>
      </c>
      <c r="G36" s="7" t="s">
        <v>114</v>
      </c>
    </row>
    <row r="37" customFormat="false" ht="15" hidden="false" customHeight="false" outlineLevel="0" collapsed="false">
      <c r="A37" s="6" t="n">
        <v>27</v>
      </c>
      <c r="B37" s="6" t="s">
        <v>100</v>
      </c>
      <c r="C37" s="7" t="s">
        <v>115</v>
      </c>
      <c r="D37" s="10" t="n">
        <v>1248</v>
      </c>
      <c r="E37" s="6" t="s">
        <v>116</v>
      </c>
      <c r="F37" s="8" t="s">
        <v>117</v>
      </c>
      <c r="G37" s="7" t="s">
        <v>118</v>
      </c>
    </row>
    <row r="38" customFormat="false" ht="15" hidden="false" customHeight="false" outlineLevel="0" collapsed="false">
      <c r="A38" s="6" t="n">
        <v>28</v>
      </c>
      <c r="B38" s="6" t="s">
        <v>100</v>
      </c>
      <c r="C38" s="7" t="s">
        <v>119</v>
      </c>
      <c r="D38" s="10" t="n">
        <v>41</v>
      </c>
      <c r="E38" s="6" t="s">
        <v>102</v>
      </c>
      <c r="F38" s="8" t="s">
        <v>120</v>
      </c>
      <c r="G38" s="7" t="s">
        <v>118</v>
      </c>
    </row>
    <row r="39" customFormat="false" ht="15" hidden="false" customHeight="false" outlineLevel="0" collapsed="false">
      <c r="A39" s="6" t="n">
        <v>29</v>
      </c>
      <c r="B39" s="6" t="s">
        <v>121</v>
      </c>
      <c r="C39" s="7" t="s">
        <v>122</v>
      </c>
      <c r="D39" s="11" t="n">
        <v>2.4</v>
      </c>
      <c r="E39" s="6" t="s">
        <v>123</v>
      </c>
      <c r="F39" s="8" t="s">
        <v>124</v>
      </c>
      <c r="G39" s="7" t="s">
        <v>125</v>
      </c>
    </row>
    <row r="40" customFormat="false" ht="15" hidden="false" customHeight="false" outlineLevel="0" collapsed="false">
      <c r="A40" s="6" t="n">
        <v>30</v>
      </c>
      <c r="B40" s="6" t="s">
        <v>121</v>
      </c>
      <c r="C40" s="7" t="s">
        <v>126</v>
      </c>
      <c r="D40" s="10" t="n">
        <v>0</v>
      </c>
      <c r="E40" s="6" t="s">
        <v>127</v>
      </c>
      <c r="F40" s="8" t="s">
        <v>80</v>
      </c>
      <c r="G40" s="7" t="s">
        <v>125</v>
      </c>
    </row>
    <row r="41" customFormat="false" ht="15" hidden="false" customHeight="false" outlineLevel="0" collapsed="false">
      <c r="A41" s="6" t="n">
        <v>31</v>
      </c>
      <c r="B41" s="6" t="s">
        <v>121</v>
      </c>
      <c r="C41" s="7" t="s">
        <v>128</v>
      </c>
      <c r="D41" s="11" t="n">
        <v>22.3</v>
      </c>
      <c r="E41" s="6" t="s">
        <v>116</v>
      </c>
      <c r="F41" s="8" t="s">
        <v>129</v>
      </c>
      <c r="G41" s="7" t="s">
        <v>130</v>
      </c>
    </row>
    <row r="42" customFormat="false" ht="15" hidden="false" customHeight="false" outlineLevel="0" collapsed="false">
      <c r="A42" s="6" t="n">
        <v>32</v>
      </c>
      <c r="B42" s="6" t="s">
        <v>121</v>
      </c>
      <c r="C42" s="7" t="s">
        <v>131</v>
      </c>
      <c r="D42" s="9" t="n">
        <v>0.038</v>
      </c>
      <c r="E42" s="6" t="s">
        <v>47</v>
      </c>
      <c r="F42" s="8" t="s">
        <v>132</v>
      </c>
      <c r="G42" s="7" t="s">
        <v>133</v>
      </c>
    </row>
    <row r="43" customFormat="false" ht="15" hidden="false" customHeight="false" outlineLevel="0" collapsed="false">
      <c r="A43" s="6" t="n">
        <v>33</v>
      </c>
      <c r="B43" s="6" t="s">
        <v>134</v>
      </c>
      <c r="C43" s="7" t="s">
        <v>135</v>
      </c>
      <c r="D43" s="10" t="n">
        <v>0</v>
      </c>
      <c r="E43" s="6" t="s">
        <v>127</v>
      </c>
      <c r="F43" s="8" t="s">
        <v>80</v>
      </c>
      <c r="G43" s="7" t="s">
        <v>136</v>
      </c>
    </row>
    <row r="44" customFormat="false" ht="15" hidden="false" customHeight="false" outlineLevel="0" collapsed="false">
      <c r="A44" s="6" t="n">
        <v>34</v>
      </c>
      <c r="B44" s="6" t="s">
        <v>137</v>
      </c>
      <c r="C44" s="7" t="s">
        <v>138</v>
      </c>
      <c r="D44" s="10" t="n">
        <v>0</v>
      </c>
      <c r="E44" s="6" t="s">
        <v>127</v>
      </c>
      <c r="F44" s="8" t="s">
        <v>80</v>
      </c>
      <c r="G44" s="7" t="s">
        <v>139</v>
      </c>
    </row>
    <row r="45" customFormat="false" ht="15" hidden="false" customHeight="false" outlineLevel="0" collapsed="false">
      <c r="A45" s="6" t="n">
        <v>35</v>
      </c>
      <c r="B45" s="6" t="s">
        <v>137</v>
      </c>
      <c r="C45" s="7" t="s">
        <v>140</v>
      </c>
      <c r="D45" s="10" t="n">
        <v>0</v>
      </c>
      <c r="E45" s="6" t="s">
        <v>141</v>
      </c>
      <c r="F45" s="8" t="s">
        <v>80</v>
      </c>
      <c r="G45" s="7" t="s">
        <v>142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B1" s="1" t="s">
        <v>143</v>
      </c>
    </row>
    <row r="2" customFormat="false" ht="15" hidden="false" customHeight="false" outlineLevel="0" collapsed="false">
      <c r="B2" s="2" t="s">
        <v>144</v>
      </c>
    </row>
    <row r="4" customFormat="false" ht="15" hidden="false" customHeight="false" outlineLevel="0" collapsed="false">
      <c r="A4" s="5" t="s">
        <v>19</v>
      </c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</row>
    <row r="5" customFormat="false" ht="15" hidden="false" customHeight="false" outlineLevel="0" collapsed="false">
      <c r="A5" s="6" t="n">
        <v>1</v>
      </c>
      <c r="B5" s="7" t="s">
        <v>150</v>
      </c>
      <c r="C5" s="6" t="s">
        <v>151</v>
      </c>
      <c r="D5" s="10" t="n">
        <v>412</v>
      </c>
      <c r="E5" s="10" t="n">
        <v>14</v>
      </c>
      <c r="F5" s="10" t="n">
        <v>6</v>
      </c>
    </row>
    <row r="6" customFormat="false" ht="15" hidden="false" customHeight="false" outlineLevel="0" collapsed="false">
      <c r="A6" s="6" t="n">
        <v>2</v>
      </c>
      <c r="B6" s="7" t="s">
        <v>152</v>
      </c>
      <c r="C6" s="6" t="s">
        <v>153</v>
      </c>
      <c r="D6" s="10" t="n">
        <v>186</v>
      </c>
      <c r="E6" s="10" t="n">
        <v>9</v>
      </c>
      <c r="F6" s="10" t="n">
        <v>4</v>
      </c>
    </row>
    <row r="7" customFormat="false" ht="15" hidden="false" customHeight="false" outlineLevel="0" collapsed="false">
      <c r="A7" s="6" t="n">
        <v>3</v>
      </c>
      <c r="B7" s="7" t="s">
        <v>154</v>
      </c>
      <c r="C7" s="6" t="s">
        <v>155</v>
      </c>
      <c r="D7" s="10" t="n">
        <v>154</v>
      </c>
      <c r="E7" s="10" t="n">
        <v>8</v>
      </c>
      <c r="F7" s="10" t="n">
        <v>5</v>
      </c>
    </row>
    <row r="8" customFormat="false" ht="15" hidden="false" customHeight="false" outlineLevel="0" collapsed="false">
      <c r="A8" s="6" t="n">
        <v>4</v>
      </c>
      <c r="B8" s="7" t="s">
        <v>156</v>
      </c>
      <c r="C8" s="6" t="s">
        <v>157</v>
      </c>
      <c r="D8" s="10" t="n">
        <v>138</v>
      </c>
      <c r="E8" s="10" t="n">
        <v>6</v>
      </c>
      <c r="F8" s="10" t="n">
        <v>3</v>
      </c>
    </row>
    <row r="9" customFormat="false" ht="15" hidden="false" customHeight="false" outlineLevel="0" collapsed="false">
      <c r="A9" s="6" t="n">
        <v>5</v>
      </c>
      <c r="B9" s="7" t="s">
        <v>158</v>
      </c>
      <c r="C9" s="6" t="s">
        <v>159</v>
      </c>
      <c r="D9" s="10" t="n">
        <v>108</v>
      </c>
      <c r="E9" s="10" t="n">
        <v>5</v>
      </c>
      <c r="F9" s="10" t="n">
        <v>2</v>
      </c>
    </row>
    <row r="10" customFormat="false" ht="15" hidden="false" customHeight="false" outlineLevel="0" collapsed="false">
      <c r="A10" s="6" t="n">
        <v>6</v>
      </c>
      <c r="B10" s="7" t="s">
        <v>160</v>
      </c>
      <c r="C10" s="6" t="s">
        <v>161</v>
      </c>
      <c r="D10" s="10" t="n">
        <v>98</v>
      </c>
      <c r="E10" s="10" t="n">
        <v>4</v>
      </c>
      <c r="F10" s="10" t="n">
        <v>2</v>
      </c>
    </row>
    <row r="11" customFormat="false" ht="15" hidden="false" customHeight="false" outlineLevel="0" collapsed="false">
      <c r="A11" s="6" t="n">
        <v>7</v>
      </c>
      <c r="B11" s="7" t="s">
        <v>162</v>
      </c>
      <c r="C11" s="6" t="s">
        <v>163</v>
      </c>
      <c r="D11" s="10" t="n">
        <v>86</v>
      </c>
      <c r="E11" s="10" t="n">
        <v>4</v>
      </c>
      <c r="F11" s="10" t="n">
        <v>2</v>
      </c>
    </row>
    <row r="12" customFormat="false" ht="15" hidden="false" customHeight="false" outlineLevel="0" collapsed="false">
      <c r="A12" s="6" t="n">
        <v>8</v>
      </c>
      <c r="B12" s="7" t="s">
        <v>164</v>
      </c>
      <c r="C12" s="6" t="s">
        <v>165</v>
      </c>
      <c r="D12" s="10" t="n">
        <v>66</v>
      </c>
      <c r="E12" s="10" t="n">
        <v>3</v>
      </c>
      <c r="F12" s="10" t="n">
        <v>1</v>
      </c>
    </row>
    <row r="13" customFormat="false" ht="15" hidden="false" customHeight="false" outlineLevel="0" collapsed="false">
      <c r="A13" s="12"/>
      <c r="B13" s="13" t="s">
        <v>166</v>
      </c>
      <c r="C13" s="12"/>
      <c r="D13" s="14" t="n">
        <f aca="false">SUM(D5:D12)</f>
        <v>1248</v>
      </c>
      <c r="E13" s="14" t="n">
        <f aca="false">SUM(E5:E12)</f>
        <v>53</v>
      </c>
      <c r="F13" s="14" t="n">
        <f aca="false">SUM(F5:F12)</f>
        <v>25</v>
      </c>
    </row>
    <row r="15" customFormat="false" ht="15" hidden="false" customHeight="false" outlineLevel="0" collapsed="false">
      <c r="B15" s="2" t="s">
        <v>167</v>
      </c>
    </row>
  </sheetData>
  <printOptions headings="false" gridLines="false" gridLinesSet="true" horizontalCentered="false" verticalCentered="false"/>
  <pageMargins left="0.6" right="0.6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B1" s="1" t="s">
        <v>168</v>
      </c>
    </row>
    <row r="2" customFormat="false" ht="15" hidden="false" customHeight="false" outlineLevel="0" collapsed="false">
      <c r="B2" s="2" t="s">
        <v>169</v>
      </c>
    </row>
    <row r="4" customFormat="false" ht="15" hidden="false" customHeight="false" outlineLevel="0" collapsed="false">
      <c r="A4" s="5" t="s">
        <v>19</v>
      </c>
      <c r="B4" s="5" t="s">
        <v>20</v>
      </c>
      <c r="C4" s="5" t="s">
        <v>170</v>
      </c>
      <c r="D4" s="5" t="s">
        <v>171</v>
      </c>
      <c r="E4" s="5" t="s">
        <v>172</v>
      </c>
      <c r="F4" s="5" t="s">
        <v>173</v>
      </c>
    </row>
    <row r="5" customFormat="false" ht="15" hidden="false" customHeight="false" outlineLevel="0" collapsed="false">
      <c r="A5" s="6" t="n">
        <v>1</v>
      </c>
      <c r="B5" s="6" t="s">
        <v>52</v>
      </c>
      <c r="C5" s="7" t="s">
        <v>174</v>
      </c>
      <c r="D5" s="6" t="s">
        <v>175</v>
      </c>
      <c r="E5" s="10" t="n">
        <v>2184</v>
      </c>
      <c r="F5" s="6" t="s">
        <v>176</v>
      </c>
    </row>
    <row r="6" customFormat="false" ht="15" hidden="false" customHeight="false" outlineLevel="0" collapsed="false">
      <c r="A6" s="6" t="n">
        <v>2</v>
      </c>
      <c r="B6" s="6" t="s">
        <v>52</v>
      </c>
      <c r="C6" s="7" t="s">
        <v>177</v>
      </c>
      <c r="D6" s="6" t="s">
        <v>178</v>
      </c>
      <c r="E6" s="10" t="n">
        <v>316</v>
      </c>
      <c r="F6" s="6" t="s">
        <v>179</v>
      </c>
    </row>
    <row r="7" customFormat="false" ht="15" hidden="false" customHeight="false" outlineLevel="0" collapsed="false">
      <c r="A7" s="6" t="n">
        <v>3</v>
      </c>
      <c r="B7" s="6" t="s">
        <v>52</v>
      </c>
      <c r="C7" s="7" t="s">
        <v>180</v>
      </c>
      <c r="D7" s="6" t="s">
        <v>181</v>
      </c>
      <c r="E7" s="10" t="n">
        <v>482</v>
      </c>
      <c r="F7" s="6" t="s">
        <v>182</v>
      </c>
    </row>
    <row r="8" customFormat="false" ht="15" hidden="false" customHeight="false" outlineLevel="0" collapsed="false">
      <c r="A8" s="6" t="n">
        <v>4</v>
      </c>
      <c r="B8" s="6" t="s">
        <v>82</v>
      </c>
      <c r="C8" s="7" t="s">
        <v>183</v>
      </c>
      <c r="D8" s="6" t="s">
        <v>175</v>
      </c>
      <c r="E8" s="10" t="n">
        <v>640</v>
      </c>
      <c r="F8" s="6" t="s">
        <v>184</v>
      </c>
    </row>
    <row r="9" customFormat="false" ht="15" hidden="false" customHeight="false" outlineLevel="0" collapsed="false">
      <c r="A9" s="6" t="n">
        <v>5</v>
      </c>
      <c r="B9" s="6" t="s">
        <v>89</v>
      </c>
      <c r="C9" s="7" t="s">
        <v>185</v>
      </c>
      <c r="D9" s="6" t="s">
        <v>186</v>
      </c>
      <c r="E9" s="10" t="n">
        <v>112</v>
      </c>
      <c r="F9" s="6" t="s">
        <v>187</v>
      </c>
    </row>
    <row r="10" customFormat="false" ht="15" hidden="false" customHeight="false" outlineLevel="0" collapsed="false">
      <c r="A10" s="6" t="n">
        <v>6</v>
      </c>
      <c r="B10" s="6" t="s">
        <v>100</v>
      </c>
      <c r="C10" s="7" t="s">
        <v>188</v>
      </c>
      <c r="D10" s="6" t="s">
        <v>178</v>
      </c>
      <c r="E10" s="10" t="n">
        <v>58</v>
      </c>
      <c r="F10" s="6" t="s">
        <v>189</v>
      </c>
    </row>
    <row r="11" customFormat="false" ht="15" hidden="false" customHeight="false" outlineLevel="0" collapsed="false">
      <c r="A11" s="6" t="n">
        <v>7</v>
      </c>
      <c r="B11" s="6" t="s">
        <v>100</v>
      </c>
      <c r="C11" s="7" t="s">
        <v>190</v>
      </c>
      <c r="D11" s="6" t="s">
        <v>186</v>
      </c>
      <c r="E11" s="10" t="n">
        <v>94</v>
      </c>
      <c r="F11" s="6" t="s">
        <v>191</v>
      </c>
    </row>
    <row r="12" customFormat="false" ht="15" hidden="false" customHeight="false" outlineLevel="0" collapsed="false">
      <c r="A12" s="6" t="n">
        <v>8</v>
      </c>
      <c r="B12" s="6" t="s">
        <v>100</v>
      </c>
      <c r="C12" s="7" t="s">
        <v>192</v>
      </c>
      <c r="D12" s="6" t="s">
        <v>178</v>
      </c>
      <c r="E12" s="10" t="n">
        <v>248</v>
      </c>
      <c r="F12" s="6" t="s">
        <v>193</v>
      </c>
    </row>
    <row r="13" customFormat="false" ht="15" hidden="false" customHeight="false" outlineLevel="0" collapsed="false">
      <c r="A13" s="6" t="n">
        <v>9</v>
      </c>
      <c r="B13" s="6" t="s">
        <v>121</v>
      </c>
      <c r="C13" s="7" t="s">
        <v>194</v>
      </c>
      <c r="D13" s="6" t="s">
        <v>186</v>
      </c>
      <c r="E13" s="10" t="n">
        <v>42</v>
      </c>
      <c r="F13" s="6" t="s">
        <v>195</v>
      </c>
    </row>
    <row r="14" customFormat="false" ht="15" hidden="false" customHeight="false" outlineLevel="0" collapsed="false">
      <c r="A14" s="6" t="n">
        <v>10</v>
      </c>
      <c r="B14" s="6" t="s">
        <v>134</v>
      </c>
      <c r="C14" s="7" t="s">
        <v>196</v>
      </c>
      <c r="D14" s="6" t="s">
        <v>175</v>
      </c>
      <c r="E14" s="10" t="n">
        <v>96</v>
      </c>
      <c r="F14" s="6" t="s">
        <v>197</v>
      </c>
    </row>
    <row r="15" customFormat="false" ht="15" hidden="false" customHeight="false" outlineLevel="0" collapsed="false">
      <c r="A15" s="6" t="n">
        <v>11</v>
      </c>
      <c r="B15" s="6" t="s">
        <v>137</v>
      </c>
      <c r="C15" s="7" t="s">
        <v>198</v>
      </c>
      <c r="D15" s="6" t="s">
        <v>175</v>
      </c>
      <c r="E15" s="10" t="n">
        <v>78</v>
      </c>
      <c r="F15" s="6" t="s">
        <v>199</v>
      </c>
    </row>
    <row r="16" customFormat="false" ht="15" hidden="false" customHeight="false" outlineLevel="0" collapsed="false">
      <c r="A16" s="12"/>
      <c r="B16" s="12"/>
      <c r="C16" s="13" t="s">
        <v>166</v>
      </c>
      <c r="D16" s="12"/>
      <c r="E16" s="14" t="n">
        <f aca="false">SUM(E5:E15)</f>
        <v>4350</v>
      </c>
      <c r="F16" s="12"/>
    </row>
  </sheetData>
  <printOptions headings="false" gridLines="false" gridLinesSet="true" horizontalCentered="false" verticalCentered="false"/>
  <pageMargins left="0.6" right="0.6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2026-04-17T15:30:22Z</dcterms:created>
  <dc:creator>openpyxl</dc:creator>
  <dc:description/>
  <dc:language>en-US</dc:language>
  <cp:lastModifiedBy/>
  <dcterms:modified xsi:type="dcterms:W3CDTF">2026-04-17T15:30:22Z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